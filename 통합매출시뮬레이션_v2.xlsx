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2302001P01\Desktop\업무용 폴더\업무\2027년\001. 사업계획\03. 작업\"/>
    </mc:Choice>
  </mc:AlternateContent>
  <xr:revisionPtr revIDLastSave="0" documentId="13_ncr:1_{4BBA17A3-1700-4E02-BB3E-573D4D263820}" xr6:coauthVersionLast="36" xr6:coauthVersionMax="36" xr10:uidLastSave="{00000000-0000-0000-0000-000000000000}"/>
  <bookViews>
    <workbookView xWindow="0" yWindow="0" windowWidth="28800" windowHeight="13200" tabRatio="500" xr2:uid="{00000000-000D-0000-FFFF-FFFF00000000}"/>
  </bookViews>
  <sheets>
    <sheet name="00_통제변수" sheetId="1" r:id="rId1"/>
    <sheet name="01_현상유지" sheetId="2" r:id="rId2"/>
    <sheet name="02_무배+익일" sheetId="3" r:id="rId3"/>
    <sheet name="03_익일배송" sheetId="4" r:id="rId4"/>
    <sheet name="04_회원확대" sheetId="5" r:id="rId5"/>
    <sheet name="05_요약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E61" i="6" l="1"/>
  <c r="O63" i="5"/>
  <c r="K63" i="5"/>
  <c r="F62" i="6" s="1"/>
  <c r="I63" i="5"/>
  <c r="F56" i="6" s="1"/>
  <c r="F63" i="5"/>
  <c r="F50" i="6" s="1"/>
  <c r="D63" i="5"/>
  <c r="O62" i="5"/>
  <c r="K62" i="5"/>
  <c r="I62" i="5"/>
  <c r="F62" i="5"/>
  <c r="D62" i="5"/>
  <c r="O61" i="5"/>
  <c r="K61" i="5"/>
  <c r="I61" i="5"/>
  <c r="F61" i="5"/>
  <c r="D61" i="5"/>
  <c r="O60" i="5"/>
  <c r="K60" i="5"/>
  <c r="I60" i="5"/>
  <c r="F60" i="5"/>
  <c r="D60" i="5"/>
  <c r="O59" i="5"/>
  <c r="K59" i="5"/>
  <c r="I59" i="5"/>
  <c r="F59" i="5"/>
  <c r="D59" i="5"/>
  <c r="O58" i="5"/>
  <c r="K58" i="5"/>
  <c r="I58" i="5"/>
  <c r="F58" i="5"/>
  <c r="D58" i="5"/>
  <c r="O57" i="5"/>
  <c r="K57" i="5"/>
  <c r="I57" i="5"/>
  <c r="F57" i="5"/>
  <c r="D57" i="5"/>
  <c r="O56" i="5"/>
  <c r="K56" i="5"/>
  <c r="I56" i="5"/>
  <c r="F56" i="5"/>
  <c r="D56" i="5"/>
  <c r="O55" i="5"/>
  <c r="K55" i="5"/>
  <c r="I55" i="5"/>
  <c r="F55" i="5"/>
  <c r="D55" i="5"/>
  <c r="O54" i="5"/>
  <c r="K54" i="5"/>
  <c r="I54" i="5"/>
  <c r="F54" i="5"/>
  <c r="D54" i="5"/>
  <c r="O53" i="5"/>
  <c r="K53" i="5"/>
  <c r="I53" i="5"/>
  <c r="F53" i="5"/>
  <c r="D53" i="5"/>
  <c r="O52" i="5"/>
  <c r="K52" i="5"/>
  <c r="I52" i="5"/>
  <c r="F52" i="5"/>
  <c r="D52" i="5"/>
  <c r="O51" i="5"/>
  <c r="K51" i="5"/>
  <c r="E62" i="6" s="1"/>
  <c r="I51" i="5"/>
  <c r="E56" i="6" s="1"/>
  <c r="F51" i="5"/>
  <c r="E50" i="6" s="1"/>
  <c r="D51" i="5"/>
  <c r="O50" i="5"/>
  <c r="K50" i="5"/>
  <c r="I50" i="5"/>
  <c r="F50" i="5"/>
  <c r="D50" i="5"/>
  <c r="O49" i="5"/>
  <c r="K49" i="5"/>
  <c r="I49" i="5"/>
  <c r="F49" i="5"/>
  <c r="D49" i="5"/>
  <c r="O48" i="5"/>
  <c r="K48" i="5"/>
  <c r="I48" i="5"/>
  <c r="F48" i="5"/>
  <c r="D48" i="5"/>
  <c r="O47" i="5"/>
  <c r="K47" i="5"/>
  <c r="I47" i="5"/>
  <c r="F47" i="5"/>
  <c r="D47" i="5"/>
  <c r="O46" i="5"/>
  <c r="K46" i="5"/>
  <c r="I46" i="5"/>
  <c r="F46" i="5"/>
  <c r="D46" i="5"/>
  <c r="O45" i="5"/>
  <c r="K45" i="5"/>
  <c r="I45" i="5"/>
  <c r="F45" i="5"/>
  <c r="D45" i="5"/>
  <c r="O44" i="5"/>
  <c r="K44" i="5"/>
  <c r="I44" i="5"/>
  <c r="F44" i="5"/>
  <c r="D44" i="5"/>
  <c r="O43" i="5"/>
  <c r="K43" i="5"/>
  <c r="I43" i="5"/>
  <c r="F43" i="5"/>
  <c r="D43" i="5"/>
  <c r="O42" i="5"/>
  <c r="K42" i="5"/>
  <c r="I42" i="5"/>
  <c r="F42" i="5"/>
  <c r="D42" i="5"/>
  <c r="O41" i="5"/>
  <c r="K41" i="5"/>
  <c r="I41" i="5"/>
  <c r="F41" i="5"/>
  <c r="D41" i="5"/>
  <c r="O40" i="5"/>
  <c r="K40" i="5"/>
  <c r="I40" i="5"/>
  <c r="F40" i="5"/>
  <c r="D40" i="5"/>
  <c r="O39" i="5"/>
  <c r="K39" i="5"/>
  <c r="D62" i="6" s="1"/>
  <c r="I39" i="5"/>
  <c r="D56" i="6" s="1"/>
  <c r="F39" i="5"/>
  <c r="D50" i="6" s="1"/>
  <c r="D39" i="5"/>
  <c r="O38" i="5"/>
  <c r="K38" i="5"/>
  <c r="I38" i="5"/>
  <c r="F38" i="5"/>
  <c r="D38" i="5"/>
  <c r="O37" i="5"/>
  <c r="K37" i="5"/>
  <c r="I37" i="5"/>
  <c r="F37" i="5"/>
  <c r="D37" i="5"/>
  <c r="O36" i="5"/>
  <c r="K36" i="5"/>
  <c r="I36" i="5"/>
  <c r="F36" i="5"/>
  <c r="D36" i="5"/>
  <c r="O35" i="5"/>
  <c r="K35" i="5"/>
  <c r="I35" i="5"/>
  <c r="F35" i="5"/>
  <c r="D35" i="5"/>
  <c r="O34" i="5"/>
  <c r="K34" i="5"/>
  <c r="I34" i="5"/>
  <c r="F34" i="5"/>
  <c r="D34" i="5"/>
  <c r="O33" i="5"/>
  <c r="K33" i="5"/>
  <c r="I33" i="5"/>
  <c r="F33" i="5"/>
  <c r="D33" i="5"/>
  <c r="O32" i="5"/>
  <c r="K32" i="5"/>
  <c r="I32" i="5"/>
  <c r="F32" i="5"/>
  <c r="D32" i="5"/>
  <c r="O31" i="5"/>
  <c r="K31" i="5"/>
  <c r="I31" i="5"/>
  <c r="F31" i="5"/>
  <c r="D31" i="5"/>
  <c r="O30" i="5"/>
  <c r="K30" i="5"/>
  <c r="I30" i="5"/>
  <c r="F30" i="5"/>
  <c r="D30" i="5"/>
  <c r="O29" i="5"/>
  <c r="K29" i="5"/>
  <c r="I29" i="5"/>
  <c r="F29" i="5"/>
  <c r="D29" i="5"/>
  <c r="O28" i="5"/>
  <c r="K28" i="5"/>
  <c r="I28" i="5"/>
  <c r="F28" i="5"/>
  <c r="D28" i="5"/>
  <c r="O27" i="5"/>
  <c r="K27" i="5"/>
  <c r="C62" i="6" s="1"/>
  <c r="I27" i="5"/>
  <c r="C56" i="6" s="1"/>
  <c r="F27" i="5"/>
  <c r="C50" i="6" s="1"/>
  <c r="D27" i="5"/>
  <c r="O26" i="5"/>
  <c r="K26" i="5"/>
  <c r="I26" i="5"/>
  <c r="F26" i="5"/>
  <c r="D26" i="5"/>
  <c r="O25" i="5"/>
  <c r="K25" i="5"/>
  <c r="I25" i="5"/>
  <c r="F25" i="5"/>
  <c r="D25" i="5"/>
  <c r="O24" i="5"/>
  <c r="K24" i="5"/>
  <c r="I24" i="5"/>
  <c r="F24" i="5"/>
  <c r="D24" i="5"/>
  <c r="O23" i="5"/>
  <c r="K23" i="5"/>
  <c r="I23" i="5"/>
  <c r="F23" i="5"/>
  <c r="D23" i="5"/>
  <c r="O22" i="5"/>
  <c r="K22" i="5"/>
  <c r="I22" i="5"/>
  <c r="F22" i="5"/>
  <c r="D22" i="5"/>
  <c r="O21" i="5"/>
  <c r="K21" i="5"/>
  <c r="I21" i="5"/>
  <c r="F21" i="5"/>
  <c r="D21" i="5"/>
  <c r="O20" i="5"/>
  <c r="K20" i="5"/>
  <c r="I20" i="5"/>
  <c r="F20" i="5"/>
  <c r="D20" i="5"/>
  <c r="O19" i="5"/>
  <c r="K19" i="5"/>
  <c r="I19" i="5"/>
  <c r="F19" i="5"/>
  <c r="D19" i="5"/>
  <c r="O18" i="5"/>
  <c r="K18" i="5"/>
  <c r="I18" i="5"/>
  <c r="F18" i="5"/>
  <c r="D18" i="5"/>
  <c r="O17" i="5"/>
  <c r="K17" i="5"/>
  <c r="I17" i="5"/>
  <c r="F17" i="5"/>
  <c r="D17" i="5"/>
  <c r="O16" i="5"/>
  <c r="K16" i="5"/>
  <c r="I16" i="5"/>
  <c r="F16" i="5"/>
  <c r="D16" i="5"/>
  <c r="O15" i="5"/>
  <c r="K15" i="5"/>
  <c r="B62" i="6" s="1"/>
  <c r="I15" i="5"/>
  <c r="B56" i="6" s="1"/>
  <c r="F15" i="5"/>
  <c r="B50" i="6" s="1"/>
  <c r="D15" i="5"/>
  <c r="O14" i="5"/>
  <c r="K14" i="5"/>
  <c r="I14" i="5"/>
  <c r="F14" i="5"/>
  <c r="D14" i="5"/>
  <c r="O13" i="5"/>
  <c r="K13" i="5"/>
  <c r="I13" i="5"/>
  <c r="F13" i="5"/>
  <c r="D13" i="5"/>
  <c r="O12" i="5"/>
  <c r="K12" i="5"/>
  <c r="I12" i="5"/>
  <c r="F12" i="5"/>
  <c r="D12" i="5"/>
  <c r="O11" i="5"/>
  <c r="K11" i="5"/>
  <c r="I11" i="5"/>
  <c r="F11" i="5"/>
  <c r="D11" i="5"/>
  <c r="O10" i="5"/>
  <c r="K10" i="5"/>
  <c r="I10" i="5"/>
  <c r="F10" i="5"/>
  <c r="D10" i="5"/>
  <c r="O9" i="5"/>
  <c r="K9" i="5"/>
  <c r="I9" i="5"/>
  <c r="F9" i="5"/>
  <c r="D9" i="5"/>
  <c r="O8" i="5"/>
  <c r="K8" i="5"/>
  <c r="I8" i="5"/>
  <c r="F8" i="5"/>
  <c r="D8" i="5"/>
  <c r="O7" i="5"/>
  <c r="K7" i="5"/>
  <c r="I7" i="5"/>
  <c r="F7" i="5"/>
  <c r="D7" i="5"/>
  <c r="O6" i="5"/>
  <c r="K6" i="5"/>
  <c r="I6" i="5"/>
  <c r="F6" i="5"/>
  <c r="D6" i="5"/>
  <c r="O5" i="5"/>
  <c r="K5" i="5"/>
  <c r="I5" i="5"/>
  <c r="F5" i="5"/>
  <c r="D5" i="5"/>
  <c r="O4" i="5"/>
  <c r="P4" i="5" s="1"/>
  <c r="P5" i="5" s="1"/>
  <c r="P6" i="5" s="1"/>
  <c r="P7" i="5" s="1"/>
  <c r="P8" i="5" s="1"/>
  <c r="P9" i="5" s="1"/>
  <c r="Q10" i="5" s="1"/>
  <c r="R10" i="5" s="1"/>
  <c r="S10" i="5" s="1"/>
  <c r="K4" i="5"/>
  <c r="I4" i="5"/>
  <c r="F4" i="5"/>
  <c r="G4" i="5" s="1"/>
  <c r="E4" i="5"/>
  <c r="D4" i="5"/>
  <c r="K63" i="4"/>
  <c r="F61" i="6" s="1"/>
  <c r="I63" i="4"/>
  <c r="F55" i="6" s="1"/>
  <c r="F63" i="4"/>
  <c r="F49" i="6" s="1"/>
  <c r="D63" i="4"/>
  <c r="K62" i="4"/>
  <c r="I62" i="4"/>
  <c r="F62" i="4"/>
  <c r="D62" i="4"/>
  <c r="K61" i="4"/>
  <c r="I61" i="4"/>
  <c r="F61" i="4"/>
  <c r="D61" i="4"/>
  <c r="K60" i="4"/>
  <c r="I60" i="4"/>
  <c r="F60" i="4"/>
  <c r="D60" i="4"/>
  <c r="K59" i="4"/>
  <c r="I59" i="4"/>
  <c r="F59" i="4"/>
  <c r="D59" i="4"/>
  <c r="K58" i="4"/>
  <c r="I58" i="4"/>
  <c r="F58" i="4"/>
  <c r="D58" i="4"/>
  <c r="K57" i="4"/>
  <c r="I57" i="4"/>
  <c r="F57" i="4"/>
  <c r="D57" i="4"/>
  <c r="K56" i="4"/>
  <c r="I56" i="4"/>
  <c r="F56" i="4"/>
  <c r="D56" i="4"/>
  <c r="K55" i="4"/>
  <c r="I55" i="4"/>
  <c r="F55" i="4"/>
  <c r="D55" i="4"/>
  <c r="K54" i="4"/>
  <c r="I54" i="4"/>
  <c r="F54" i="4"/>
  <c r="D54" i="4"/>
  <c r="K53" i="4"/>
  <c r="I53" i="4"/>
  <c r="F53" i="4"/>
  <c r="D53" i="4"/>
  <c r="K52" i="4"/>
  <c r="I52" i="4"/>
  <c r="F52" i="4"/>
  <c r="D52" i="4"/>
  <c r="K51" i="4"/>
  <c r="I51" i="4"/>
  <c r="E55" i="6" s="1"/>
  <c r="F51" i="4"/>
  <c r="E49" i="6" s="1"/>
  <c r="D51" i="4"/>
  <c r="K50" i="4"/>
  <c r="I50" i="4"/>
  <c r="F50" i="4"/>
  <c r="D50" i="4"/>
  <c r="K49" i="4"/>
  <c r="I49" i="4"/>
  <c r="F49" i="4"/>
  <c r="D49" i="4"/>
  <c r="K48" i="4"/>
  <c r="I48" i="4"/>
  <c r="F48" i="4"/>
  <c r="D48" i="4"/>
  <c r="K47" i="4"/>
  <c r="I47" i="4"/>
  <c r="F47" i="4"/>
  <c r="D47" i="4"/>
  <c r="K46" i="4"/>
  <c r="I46" i="4"/>
  <c r="F46" i="4"/>
  <c r="D46" i="4"/>
  <c r="K45" i="4"/>
  <c r="I45" i="4"/>
  <c r="F45" i="4"/>
  <c r="D45" i="4"/>
  <c r="K44" i="4"/>
  <c r="I44" i="4"/>
  <c r="F44" i="4"/>
  <c r="D44" i="4"/>
  <c r="K43" i="4"/>
  <c r="I43" i="4"/>
  <c r="F43" i="4"/>
  <c r="D43" i="4"/>
  <c r="K42" i="4"/>
  <c r="I42" i="4"/>
  <c r="F42" i="4"/>
  <c r="D42" i="4"/>
  <c r="K41" i="4"/>
  <c r="I41" i="4"/>
  <c r="F41" i="4"/>
  <c r="D41" i="4"/>
  <c r="K40" i="4"/>
  <c r="I40" i="4"/>
  <c r="F40" i="4"/>
  <c r="D40" i="4"/>
  <c r="K39" i="4"/>
  <c r="D61" i="6" s="1"/>
  <c r="I39" i="4"/>
  <c r="D55" i="6" s="1"/>
  <c r="F39" i="4"/>
  <c r="D49" i="6" s="1"/>
  <c r="D39" i="4"/>
  <c r="K38" i="4"/>
  <c r="I38" i="4"/>
  <c r="F38" i="4"/>
  <c r="D38" i="4"/>
  <c r="K37" i="4"/>
  <c r="I37" i="4"/>
  <c r="F37" i="4"/>
  <c r="D37" i="4"/>
  <c r="K36" i="4"/>
  <c r="I36" i="4"/>
  <c r="F36" i="4"/>
  <c r="D36" i="4"/>
  <c r="K35" i="4"/>
  <c r="I35" i="4"/>
  <c r="F35" i="4"/>
  <c r="D35" i="4"/>
  <c r="K34" i="4"/>
  <c r="I34" i="4"/>
  <c r="F34" i="4"/>
  <c r="D34" i="4"/>
  <c r="K33" i="4"/>
  <c r="I33" i="4"/>
  <c r="F33" i="4"/>
  <c r="D33" i="4"/>
  <c r="K32" i="4"/>
  <c r="I32" i="4"/>
  <c r="F32" i="4"/>
  <c r="D32" i="4"/>
  <c r="K31" i="4"/>
  <c r="I31" i="4"/>
  <c r="F31" i="4"/>
  <c r="D31" i="4"/>
  <c r="K30" i="4"/>
  <c r="I30" i="4"/>
  <c r="F30" i="4"/>
  <c r="D30" i="4"/>
  <c r="K29" i="4"/>
  <c r="I29" i="4"/>
  <c r="F29" i="4"/>
  <c r="D29" i="4"/>
  <c r="K28" i="4"/>
  <c r="I28" i="4"/>
  <c r="F28" i="4"/>
  <c r="D28" i="4"/>
  <c r="K27" i="4"/>
  <c r="C61" i="6" s="1"/>
  <c r="I27" i="4"/>
  <c r="C55" i="6" s="1"/>
  <c r="F27" i="4"/>
  <c r="C49" i="6" s="1"/>
  <c r="D27" i="4"/>
  <c r="K26" i="4"/>
  <c r="I26" i="4"/>
  <c r="F26" i="4"/>
  <c r="D26" i="4"/>
  <c r="K25" i="4"/>
  <c r="I25" i="4"/>
  <c r="F25" i="4"/>
  <c r="D25" i="4"/>
  <c r="K24" i="4"/>
  <c r="I24" i="4"/>
  <c r="F24" i="4"/>
  <c r="D24" i="4"/>
  <c r="K23" i="4"/>
  <c r="I23" i="4"/>
  <c r="F23" i="4"/>
  <c r="D23" i="4"/>
  <c r="K22" i="4"/>
  <c r="I22" i="4"/>
  <c r="F22" i="4"/>
  <c r="D22" i="4"/>
  <c r="K21" i="4"/>
  <c r="I21" i="4"/>
  <c r="F21" i="4"/>
  <c r="D21" i="4"/>
  <c r="K20" i="4"/>
  <c r="I20" i="4"/>
  <c r="F20" i="4"/>
  <c r="D20" i="4"/>
  <c r="K19" i="4"/>
  <c r="I19" i="4"/>
  <c r="F19" i="4"/>
  <c r="D19" i="4"/>
  <c r="K18" i="4"/>
  <c r="I18" i="4"/>
  <c r="F18" i="4"/>
  <c r="D18" i="4"/>
  <c r="K17" i="4"/>
  <c r="I17" i="4"/>
  <c r="F17" i="4"/>
  <c r="D17" i="4"/>
  <c r="K16" i="4"/>
  <c r="I16" i="4"/>
  <c r="F16" i="4"/>
  <c r="D16" i="4"/>
  <c r="K15" i="4"/>
  <c r="B61" i="6" s="1"/>
  <c r="I15" i="4"/>
  <c r="B55" i="6" s="1"/>
  <c r="F15" i="4"/>
  <c r="B49" i="6" s="1"/>
  <c r="D15" i="4"/>
  <c r="K14" i="4"/>
  <c r="I14" i="4"/>
  <c r="F14" i="4"/>
  <c r="D14" i="4"/>
  <c r="K13" i="4"/>
  <c r="I13" i="4"/>
  <c r="F13" i="4"/>
  <c r="D13" i="4"/>
  <c r="K12" i="4"/>
  <c r="I12" i="4"/>
  <c r="F12" i="4"/>
  <c r="D12" i="4"/>
  <c r="K11" i="4"/>
  <c r="I11" i="4"/>
  <c r="F11" i="4"/>
  <c r="D11" i="4"/>
  <c r="K10" i="4"/>
  <c r="I10" i="4"/>
  <c r="F10" i="4"/>
  <c r="D10" i="4"/>
  <c r="K9" i="4"/>
  <c r="I9" i="4"/>
  <c r="F9" i="4"/>
  <c r="D9" i="4"/>
  <c r="K8" i="4"/>
  <c r="I8" i="4"/>
  <c r="F8" i="4"/>
  <c r="D8" i="4"/>
  <c r="K7" i="4"/>
  <c r="I7" i="4"/>
  <c r="F7" i="4"/>
  <c r="D7" i="4"/>
  <c r="K6" i="4"/>
  <c r="I6" i="4"/>
  <c r="F6" i="4"/>
  <c r="D6" i="4"/>
  <c r="K5" i="4"/>
  <c r="I5" i="4"/>
  <c r="F5" i="4"/>
  <c r="D5" i="4"/>
  <c r="N4" i="4"/>
  <c r="K4" i="4"/>
  <c r="I4" i="4"/>
  <c r="F4" i="4"/>
  <c r="G4" i="4" s="1"/>
  <c r="H4" i="4" s="1"/>
  <c r="J4" i="4" s="1"/>
  <c r="E4" i="4"/>
  <c r="G5" i="4" s="1"/>
  <c r="H5" i="4" s="1"/>
  <c r="J5" i="4" s="1"/>
  <c r="L5" i="4" s="1"/>
  <c r="M5" i="4" s="1"/>
  <c r="D4" i="4"/>
  <c r="K63" i="3"/>
  <c r="F60" i="6" s="1"/>
  <c r="I63" i="3"/>
  <c r="F54" i="6" s="1"/>
  <c r="F63" i="3"/>
  <c r="F48" i="6" s="1"/>
  <c r="D63" i="3"/>
  <c r="K62" i="3"/>
  <c r="I62" i="3"/>
  <c r="F62" i="3"/>
  <c r="D62" i="3"/>
  <c r="K61" i="3"/>
  <c r="I61" i="3"/>
  <c r="F61" i="3"/>
  <c r="D61" i="3"/>
  <c r="K60" i="3"/>
  <c r="I60" i="3"/>
  <c r="F60" i="3"/>
  <c r="D60" i="3"/>
  <c r="K59" i="3"/>
  <c r="I59" i="3"/>
  <c r="F59" i="3"/>
  <c r="D59" i="3"/>
  <c r="K58" i="3"/>
  <c r="I58" i="3"/>
  <c r="F58" i="3"/>
  <c r="D58" i="3"/>
  <c r="K57" i="3"/>
  <c r="I57" i="3"/>
  <c r="F57" i="3"/>
  <c r="D57" i="3"/>
  <c r="K56" i="3"/>
  <c r="I56" i="3"/>
  <c r="F56" i="3"/>
  <c r="D56" i="3"/>
  <c r="K55" i="3"/>
  <c r="I55" i="3"/>
  <c r="F55" i="3"/>
  <c r="D55" i="3"/>
  <c r="K54" i="3"/>
  <c r="I54" i="3"/>
  <c r="F54" i="3"/>
  <c r="D54" i="3"/>
  <c r="K53" i="3"/>
  <c r="I53" i="3"/>
  <c r="F53" i="3"/>
  <c r="D53" i="3"/>
  <c r="K52" i="3"/>
  <c r="I52" i="3"/>
  <c r="F52" i="3"/>
  <c r="D52" i="3"/>
  <c r="K51" i="3"/>
  <c r="E60" i="6" s="1"/>
  <c r="I51" i="3"/>
  <c r="E54" i="6" s="1"/>
  <c r="F51" i="3"/>
  <c r="E48" i="6" s="1"/>
  <c r="D51" i="3"/>
  <c r="K50" i="3"/>
  <c r="I50" i="3"/>
  <c r="F50" i="3"/>
  <c r="D50" i="3"/>
  <c r="K49" i="3"/>
  <c r="I49" i="3"/>
  <c r="F49" i="3"/>
  <c r="D49" i="3"/>
  <c r="K48" i="3"/>
  <c r="I48" i="3"/>
  <c r="F48" i="3"/>
  <c r="D48" i="3"/>
  <c r="K47" i="3"/>
  <c r="I47" i="3"/>
  <c r="F47" i="3"/>
  <c r="D47" i="3"/>
  <c r="K46" i="3"/>
  <c r="I46" i="3"/>
  <c r="F46" i="3"/>
  <c r="D46" i="3"/>
  <c r="K45" i="3"/>
  <c r="I45" i="3"/>
  <c r="F45" i="3"/>
  <c r="D45" i="3"/>
  <c r="K44" i="3"/>
  <c r="I44" i="3"/>
  <c r="F44" i="3"/>
  <c r="D44" i="3"/>
  <c r="K43" i="3"/>
  <c r="I43" i="3"/>
  <c r="F43" i="3"/>
  <c r="D43" i="3"/>
  <c r="K42" i="3"/>
  <c r="I42" i="3"/>
  <c r="F42" i="3"/>
  <c r="D42" i="3"/>
  <c r="K41" i="3"/>
  <c r="I41" i="3"/>
  <c r="F41" i="3"/>
  <c r="D41" i="3"/>
  <c r="K40" i="3"/>
  <c r="I40" i="3"/>
  <c r="F40" i="3"/>
  <c r="D40" i="3"/>
  <c r="K39" i="3"/>
  <c r="D60" i="6" s="1"/>
  <c r="I39" i="3"/>
  <c r="D54" i="6" s="1"/>
  <c r="F39" i="3"/>
  <c r="D48" i="6" s="1"/>
  <c r="D39" i="3"/>
  <c r="K38" i="3"/>
  <c r="I38" i="3"/>
  <c r="F38" i="3"/>
  <c r="D38" i="3"/>
  <c r="K37" i="3"/>
  <c r="I37" i="3"/>
  <c r="F37" i="3"/>
  <c r="D37" i="3"/>
  <c r="K36" i="3"/>
  <c r="I36" i="3"/>
  <c r="F36" i="3"/>
  <c r="D36" i="3"/>
  <c r="K35" i="3"/>
  <c r="I35" i="3"/>
  <c r="F35" i="3"/>
  <c r="D35" i="3"/>
  <c r="K34" i="3"/>
  <c r="I34" i="3"/>
  <c r="F34" i="3"/>
  <c r="D34" i="3"/>
  <c r="K33" i="3"/>
  <c r="I33" i="3"/>
  <c r="F33" i="3"/>
  <c r="D33" i="3"/>
  <c r="K32" i="3"/>
  <c r="I32" i="3"/>
  <c r="F32" i="3"/>
  <c r="D32" i="3"/>
  <c r="K31" i="3"/>
  <c r="I31" i="3"/>
  <c r="F31" i="3"/>
  <c r="D31" i="3"/>
  <c r="K30" i="3"/>
  <c r="I30" i="3"/>
  <c r="F30" i="3"/>
  <c r="D30" i="3"/>
  <c r="K29" i="3"/>
  <c r="I29" i="3"/>
  <c r="F29" i="3"/>
  <c r="D29" i="3"/>
  <c r="K28" i="3"/>
  <c r="I28" i="3"/>
  <c r="F28" i="3"/>
  <c r="D28" i="3"/>
  <c r="K27" i="3"/>
  <c r="C60" i="6" s="1"/>
  <c r="I27" i="3"/>
  <c r="C54" i="6" s="1"/>
  <c r="F27" i="3"/>
  <c r="C48" i="6" s="1"/>
  <c r="D27" i="3"/>
  <c r="K26" i="3"/>
  <c r="I26" i="3"/>
  <c r="F26" i="3"/>
  <c r="D26" i="3"/>
  <c r="K25" i="3"/>
  <c r="I25" i="3"/>
  <c r="F25" i="3"/>
  <c r="D25" i="3"/>
  <c r="K24" i="3"/>
  <c r="I24" i="3"/>
  <c r="F24" i="3"/>
  <c r="D24" i="3"/>
  <c r="K23" i="3"/>
  <c r="I23" i="3"/>
  <c r="F23" i="3"/>
  <c r="D23" i="3"/>
  <c r="K22" i="3"/>
  <c r="I22" i="3"/>
  <c r="F22" i="3"/>
  <c r="D22" i="3"/>
  <c r="K21" i="3"/>
  <c r="I21" i="3"/>
  <c r="F21" i="3"/>
  <c r="D21" i="3"/>
  <c r="K20" i="3"/>
  <c r="I20" i="3"/>
  <c r="F20" i="3"/>
  <c r="D20" i="3"/>
  <c r="K19" i="3"/>
  <c r="I19" i="3"/>
  <c r="F19" i="3"/>
  <c r="D19" i="3"/>
  <c r="K18" i="3"/>
  <c r="I18" i="3"/>
  <c r="F18" i="3"/>
  <c r="D18" i="3"/>
  <c r="K17" i="3"/>
  <c r="I17" i="3"/>
  <c r="F17" i="3"/>
  <c r="D17" i="3"/>
  <c r="K16" i="3"/>
  <c r="I16" i="3"/>
  <c r="F16" i="3"/>
  <c r="D16" i="3"/>
  <c r="K15" i="3"/>
  <c r="B60" i="6" s="1"/>
  <c r="I15" i="3"/>
  <c r="B54" i="6" s="1"/>
  <c r="F15" i="3"/>
  <c r="B48" i="6" s="1"/>
  <c r="D15" i="3"/>
  <c r="K14" i="3"/>
  <c r="I14" i="3"/>
  <c r="F14" i="3"/>
  <c r="D14" i="3"/>
  <c r="K13" i="3"/>
  <c r="I13" i="3"/>
  <c r="F13" i="3"/>
  <c r="D13" i="3"/>
  <c r="K12" i="3"/>
  <c r="I12" i="3"/>
  <c r="F12" i="3"/>
  <c r="D12" i="3"/>
  <c r="K11" i="3"/>
  <c r="I11" i="3"/>
  <c r="F11" i="3"/>
  <c r="D11" i="3"/>
  <c r="K10" i="3"/>
  <c r="I10" i="3"/>
  <c r="F10" i="3"/>
  <c r="D10" i="3"/>
  <c r="K9" i="3"/>
  <c r="I9" i="3"/>
  <c r="F9" i="3"/>
  <c r="D9" i="3"/>
  <c r="K8" i="3"/>
  <c r="I8" i="3"/>
  <c r="F8" i="3"/>
  <c r="D8" i="3"/>
  <c r="K7" i="3"/>
  <c r="I7" i="3"/>
  <c r="F7" i="3"/>
  <c r="D7" i="3"/>
  <c r="K6" i="3"/>
  <c r="I6" i="3"/>
  <c r="F6" i="3"/>
  <c r="D6" i="3"/>
  <c r="K5" i="3"/>
  <c r="I5" i="3"/>
  <c r="F5" i="3"/>
  <c r="D5" i="3"/>
  <c r="K4" i="3"/>
  <c r="I4" i="3"/>
  <c r="F4" i="3"/>
  <c r="G4" i="3" s="1"/>
  <c r="H4" i="3" s="1"/>
  <c r="D4" i="3"/>
  <c r="E4" i="3" s="1"/>
  <c r="K63" i="2"/>
  <c r="F59" i="6" s="1"/>
  <c r="I63" i="2"/>
  <c r="F53" i="6" s="1"/>
  <c r="F63" i="2"/>
  <c r="F47" i="6" s="1"/>
  <c r="D63" i="2"/>
  <c r="K62" i="2"/>
  <c r="I62" i="2"/>
  <c r="F62" i="2"/>
  <c r="D62" i="2"/>
  <c r="K61" i="2"/>
  <c r="I61" i="2"/>
  <c r="F61" i="2"/>
  <c r="D61" i="2"/>
  <c r="K60" i="2"/>
  <c r="I60" i="2"/>
  <c r="F60" i="2"/>
  <c r="D60" i="2"/>
  <c r="K59" i="2"/>
  <c r="I59" i="2"/>
  <c r="F59" i="2"/>
  <c r="D59" i="2"/>
  <c r="K58" i="2"/>
  <c r="I58" i="2"/>
  <c r="F58" i="2"/>
  <c r="D58" i="2"/>
  <c r="K57" i="2"/>
  <c r="I57" i="2"/>
  <c r="F57" i="2"/>
  <c r="D57" i="2"/>
  <c r="K56" i="2"/>
  <c r="I56" i="2"/>
  <c r="F56" i="2"/>
  <c r="D56" i="2"/>
  <c r="K55" i="2"/>
  <c r="I55" i="2"/>
  <c r="F55" i="2"/>
  <c r="D55" i="2"/>
  <c r="K54" i="2"/>
  <c r="I54" i="2"/>
  <c r="F54" i="2"/>
  <c r="D54" i="2"/>
  <c r="K53" i="2"/>
  <c r="I53" i="2"/>
  <c r="F53" i="2"/>
  <c r="D53" i="2"/>
  <c r="K52" i="2"/>
  <c r="I52" i="2"/>
  <c r="F52" i="2"/>
  <c r="D52" i="2"/>
  <c r="K51" i="2"/>
  <c r="E59" i="6" s="1"/>
  <c r="I51" i="2"/>
  <c r="E53" i="6" s="1"/>
  <c r="F51" i="2"/>
  <c r="E47" i="6" s="1"/>
  <c r="D51" i="2"/>
  <c r="K50" i="2"/>
  <c r="I50" i="2"/>
  <c r="F50" i="2"/>
  <c r="D50" i="2"/>
  <c r="K49" i="2"/>
  <c r="I49" i="2"/>
  <c r="F49" i="2"/>
  <c r="D49" i="2"/>
  <c r="K48" i="2"/>
  <c r="I48" i="2"/>
  <c r="F48" i="2"/>
  <c r="D48" i="2"/>
  <c r="K47" i="2"/>
  <c r="I47" i="2"/>
  <c r="F47" i="2"/>
  <c r="D47" i="2"/>
  <c r="K46" i="2"/>
  <c r="I46" i="2"/>
  <c r="F46" i="2"/>
  <c r="D46" i="2"/>
  <c r="K45" i="2"/>
  <c r="I45" i="2"/>
  <c r="F45" i="2"/>
  <c r="D45" i="2"/>
  <c r="K44" i="2"/>
  <c r="I44" i="2"/>
  <c r="F44" i="2"/>
  <c r="D44" i="2"/>
  <c r="K43" i="2"/>
  <c r="I43" i="2"/>
  <c r="F43" i="2"/>
  <c r="D43" i="2"/>
  <c r="K42" i="2"/>
  <c r="I42" i="2"/>
  <c r="F42" i="2"/>
  <c r="D42" i="2"/>
  <c r="K41" i="2"/>
  <c r="I41" i="2"/>
  <c r="F41" i="2"/>
  <c r="D41" i="2"/>
  <c r="K40" i="2"/>
  <c r="I40" i="2"/>
  <c r="F40" i="2"/>
  <c r="D40" i="2"/>
  <c r="K39" i="2"/>
  <c r="D59" i="6" s="1"/>
  <c r="I39" i="2"/>
  <c r="D53" i="6" s="1"/>
  <c r="F39" i="2"/>
  <c r="D47" i="6" s="1"/>
  <c r="D39" i="2"/>
  <c r="K38" i="2"/>
  <c r="I38" i="2"/>
  <c r="F38" i="2"/>
  <c r="D38" i="2"/>
  <c r="K37" i="2"/>
  <c r="I37" i="2"/>
  <c r="F37" i="2"/>
  <c r="D37" i="2"/>
  <c r="K36" i="2"/>
  <c r="I36" i="2"/>
  <c r="F36" i="2"/>
  <c r="D36" i="2"/>
  <c r="K35" i="2"/>
  <c r="I35" i="2"/>
  <c r="F35" i="2"/>
  <c r="D35" i="2"/>
  <c r="K34" i="2"/>
  <c r="I34" i="2"/>
  <c r="F34" i="2"/>
  <c r="D34" i="2"/>
  <c r="K33" i="2"/>
  <c r="I33" i="2"/>
  <c r="F33" i="2"/>
  <c r="D33" i="2"/>
  <c r="K32" i="2"/>
  <c r="I32" i="2"/>
  <c r="F32" i="2"/>
  <c r="D32" i="2"/>
  <c r="K31" i="2"/>
  <c r="I31" i="2"/>
  <c r="F31" i="2"/>
  <c r="D31" i="2"/>
  <c r="K30" i="2"/>
  <c r="I30" i="2"/>
  <c r="F30" i="2"/>
  <c r="D30" i="2"/>
  <c r="K29" i="2"/>
  <c r="I29" i="2"/>
  <c r="F29" i="2"/>
  <c r="D29" i="2"/>
  <c r="K28" i="2"/>
  <c r="I28" i="2"/>
  <c r="F28" i="2"/>
  <c r="D28" i="2"/>
  <c r="K27" i="2"/>
  <c r="C59" i="6" s="1"/>
  <c r="I27" i="2"/>
  <c r="C53" i="6" s="1"/>
  <c r="F27" i="2"/>
  <c r="C47" i="6" s="1"/>
  <c r="D27" i="2"/>
  <c r="K26" i="2"/>
  <c r="I26" i="2"/>
  <c r="F26" i="2"/>
  <c r="D26" i="2"/>
  <c r="K25" i="2"/>
  <c r="I25" i="2"/>
  <c r="F25" i="2"/>
  <c r="D25" i="2"/>
  <c r="K24" i="2"/>
  <c r="I24" i="2"/>
  <c r="F24" i="2"/>
  <c r="D24" i="2"/>
  <c r="K23" i="2"/>
  <c r="I23" i="2"/>
  <c r="F23" i="2"/>
  <c r="D23" i="2"/>
  <c r="K22" i="2"/>
  <c r="I22" i="2"/>
  <c r="F22" i="2"/>
  <c r="D22" i="2"/>
  <c r="K21" i="2"/>
  <c r="I21" i="2"/>
  <c r="F21" i="2"/>
  <c r="D21" i="2"/>
  <c r="K20" i="2"/>
  <c r="I20" i="2"/>
  <c r="F20" i="2"/>
  <c r="D20" i="2"/>
  <c r="K19" i="2"/>
  <c r="I19" i="2"/>
  <c r="F19" i="2"/>
  <c r="D19" i="2"/>
  <c r="K18" i="2"/>
  <c r="I18" i="2"/>
  <c r="F18" i="2"/>
  <c r="D18" i="2"/>
  <c r="K17" i="2"/>
  <c r="I17" i="2"/>
  <c r="F17" i="2"/>
  <c r="D17" i="2"/>
  <c r="K16" i="2"/>
  <c r="I16" i="2"/>
  <c r="F16" i="2"/>
  <c r="D16" i="2"/>
  <c r="K15" i="2"/>
  <c r="B59" i="6" s="1"/>
  <c r="I15" i="2"/>
  <c r="B53" i="6" s="1"/>
  <c r="F15" i="2"/>
  <c r="B47" i="6" s="1"/>
  <c r="D15" i="2"/>
  <c r="K14" i="2"/>
  <c r="I14" i="2"/>
  <c r="F14" i="2"/>
  <c r="D14" i="2"/>
  <c r="K13" i="2"/>
  <c r="I13" i="2"/>
  <c r="F13" i="2"/>
  <c r="D13" i="2"/>
  <c r="K12" i="2"/>
  <c r="I12" i="2"/>
  <c r="F12" i="2"/>
  <c r="D12" i="2"/>
  <c r="K11" i="2"/>
  <c r="I11" i="2"/>
  <c r="F11" i="2"/>
  <c r="D11" i="2"/>
  <c r="K10" i="2"/>
  <c r="I10" i="2"/>
  <c r="F10" i="2"/>
  <c r="D10" i="2"/>
  <c r="K9" i="2"/>
  <c r="I9" i="2"/>
  <c r="F9" i="2"/>
  <c r="D9" i="2"/>
  <c r="K8" i="2"/>
  <c r="I8" i="2"/>
  <c r="F8" i="2"/>
  <c r="D8" i="2"/>
  <c r="K7" i="2"/>
  <c r="I7" i="2"/>
  <c r="F7" i="2"/>
  <c r="D7" i="2"/>
  <c r="K6" i="2"/>
  <c r="I6" i="2"/>
  <c r="F6" i="2"/>
  <c r="D6" i="2"/>
  <c r="K5" i="2"/>
  <c r="I5" i="2"/>
  <c r="F5" i="2"/>
  <c r="D5" i="2"/>
  <c r="K4" i="2"/>
  <c r="I4" i="2"/>
  <c r="F4" i="2"/>
  <c r="G4" i="2" s="1"/>
  <c r="D4" i="2"/>
  <c r="E4" i="2" s="1"/>
  <c r="N4" i="2" s="1"/>
  <c r="Q6" i="5" l="1"/>
  <c r="R6" i="5" s="1"/>
  <c r="S6" i="5" s="1"/>
  <c r="Q9" i="5"/>
  <c r="R9" i="5" s="1"/>
  <c r="S9" i="5" s="1"/>
  <c r="Q4" i="5"/>
  <c r="R4" i="5" s="1"/>
  <c r="S4" i="5" s="1"/>
  <c r="Q5" i="5"/>
  <c r="R5" i="5" s="1"/>
  <c r="S5" i="5" s="1"/>
  <c r="J4" i="3"/>
  <c r="L4" i="3" s="1"/>
  <c r="L4" i="4"/>
  <c r="H4" i="2"/>
  <c r="J4" i="2" s="1"/>
  <c r="E5" i="3"/>
  <c r="N4" i="3"/>
  <c r="G5" i="3"/>
  <c r="H5" i="3" s="1"/>
  <c r="J5" i="3" s="1"/>
  <c r="L5" i="3" s="1"/>
  <c r="M5" i="3" s="1"/>
  <c r="N4" i="5"/>
  <c r="G5" i="5"/>
  <c r="H5" i="5" s="1"/>
  <c r="J5" i="5" s="1"/>
  <c r="L5" i="5" s="1"/>
  <c r="M5" i="5" s="1"/>
  <c r="E5" i="5"/>
  <c r="E5" i="2"/>
  <c r="G5" i="2"/>
  <c r="H5" i="2" s="1"/>
  <c r="J5" i="2" s="1"/>
  <c r="L5" i="2" s="1"/>
  <c r="M5" i="2" s="1"/>
  <c r="Q7" i="5"/>
  <c r="R7" i="5" s="1"/>
  <c r="S7" i="5" s="1"/>
  <c r="H4" i="5"/>
  <c r="J4" i="5" s="1"/>
  <c r="Q8" i="5"/>
  <c r="R8" i="5" s="1"/>
  <c r="S8" i="5" s="1"/>
  <c r="P10" i="5"/>
  <c r="E5" i="4"/>
  <c r="G6" i="3" l="1"/>
  <c r="H6" i="3" s="1"/>
  <c r="J6" i="3" s="1"/>
  <c r="L6" i="3" s="1"/>
  <c r="M6" i="3" s="1"/>
  <c r="E6" i="3"/>
  <c r="N5" i="3"/>
  <c r="L4" i="5"/>
  <c r="L4" i="2"/>
  <c r="M4" i="3"/>
  <c r="P11" i="5"/>
  <c r="Q11" i="5"/>
  <c r="R11" i="5" s="1"/>
  <c r="S11" i="5" s="1"/>
  <c r="E6" i="2"/>
  <c r="N5" i="2"/>
  <c r="G6" i="2"/>
  <c r="H6" i="2" s="1"/>
  <c r="J6" i="2" s="1"/>
  <c r="L6" i="2" s="1"/>
  <c r="M6" i="2" s="1"/>
  <c r="E6" i="4"/>
  <c r="N5" i="4"/>
  <c r="G6" i="4"/>
  <c r="H6" i="4" s="1"/>
  <c r="J6" i="4" s="1"/>
  <c r="N5" i="5"/>
  <c r="E6" i="5"/>
  <c r="G6" i="5"/>
  <c r="H6" i="5" s="1"/>
  <c r="J6" i="5" s="1"/>
  <c r="L6" i="5" s="1"/>
  <c r="M6" i="5" s="1"/>
  <c r="M4" i="4"/>
  <c r="E7" i="4" l="1"/>
  <c r="N6" i="4"/>
  <c r="G7" i="4"/>
  <c r="H7" i="4" s="1"/>
  <c r="J7" i="4" s="1"/>
  <c r="L7" i="4" s="1"/>
  <c r="M7" i="4" s="1"/>
  <c r="G7" i="2"/>
  <c r="H7" i="2" s="1"/>
  <c r="J7" i="2" s="1"/>
  <c r="L7" i="2" s="1"/>
  <c r="M7" i="2" s="1"/>
  <c r="E7" i="2"/>
  <c r="N6" i="2"/>
  <c r="M4" i="2"/>
  <c r="P12" i="5"/>
  <c r="Q12" i="5"/>
  <c r="R12" i="5" s="1"/>
  <c r="S12" i="5" s="1"/>
  <c r="N6" i="5"/>
  <c r="G7" i="5"/>
  <c r="H7" i="5" s="1"/>
  <c r="J7" i="5" s="1"/>
  <c r="L7" i="5" s="1"/>
  <c r="M7" i="5" s="1"/>
  <c r="E7" i="5"/>
  <c r="M4" i="5"/>
  <c r="L6" i="4"/>
  <c r="E7" i="3"/>
  <c r="N6" i="3"/>
  <c r="G7" i="3"/>
  <c r="H7" i="3" s="1"/>
  <c r="J7" i="3" s="1"/>
  <c r="L7" i="3" s="1"/>
  <c r="M7" i="3" s="1"/>
  <c r="G8" i="3" l="1"/>
  <c r="H8" i="3" s="1"/>
  <c r="J8" i="3" s="1"/>
  <c r="L8" i="3" s="1"/>
  <c r="E8" i="3"/>
  <c r="N7" i="3"/>
  <c r="E8" i="2"/>
  <c r="G8" i="2"/>
  <c r="H8" i="2" s="1"/>
  <c r="J8" i="2" s="1"/>
  <c r="N7" i="2"/>
  <c r="P13" i="5"/>
  <c r="Q13" i="5"/>
  <c r="R13" i="5" s="1"/>
  <c r="S13" i="5" s="1"/>
  <c r="M6" i="4"/>
  <c r="N7" i="5"/>
  <c r="G8" i="5"/>
  <c r="H8" i="5" s="1"/>
  <c r="J8" i="5" s="1"/>
  <c r="E8" i="5"/>
  <c r="E8" i="4"/>
  <c r="G8" i="4"/>
  <c r="H8" i="4" s="1"/>
  <c r="J8" i="4" s="1"/>
  <c r="N7" i="4"/>
  <c r="L8" i="2" l="1"/>
  <c r="G9" i="2"/>
  <c r="H9" i="2" s="1"/>
  <c r="J9" i="2" s="1"/>
  <c r="L9" i="2" s="1"/>
  <c r="M9" i="2" s="1"/>
  <c r="E9" i="2"/>
  <c r="N8" i="2"/>
  <c r="P14" i="5"/>
  <c r="Q14" i="5"/>
  <c r="R14" i="5" s="1"/>
  <c r="S14" i="5" s="1"/>
  <c r="G9" i="3"/>
  <c r="H9" i="3" s="1"/>
  <c r="J9" i="3" s="1"/>
  <c r="E9" i="3"/>
  <c r="N8" i="3"/>
  <c r="L8" i="4"/>
  <c r="M8" i="3"/>
  <c r="L8" i="5"/>
  <c r="N8" i="4"/>
  <c r="G9" i="4"/>
  <c r="H9" i="4" s="1"/>
  <c r="J9" i="4" s="1"/>
  <c r="L9" i="4" s="1"/>
  <c r="M9" i="4" s="1"/>
  <c r="E9" i="4"/>
  <c r="N8" i="5"/>
  <c r="G9" i="5"/>
  <c r="H9" i="5" s="1"/>
  <c r="J9" i="5" s="1"/>
  <c r="L9" i="5" s="1"/>
  <c r="M9" i="5" s="1"/>
  <c r="E9" i="5"/>
  <c r="M8" i="5" l="1"/>
  <c r="L9" i="3"/>
  <c r="G10" i="4"/>
  <c r="H10" i="4" s="1"/>
  <c r="J10" i="4" s="1"/>
  <c r="E10" i="4"/>
  <c r="N9" i="4"/>
  <c r="N9" i="2"/>
  <c r="G10" i="2"/>
  <c r="H10" i="2" s="1"/>
  <c r="J10" i="2" s="1"/>
  <c r="L10" i="2" s="1"/>
  <c r="M10" i="2" s="1"/>
  <c r="E10" i="2"/>
  <c r="M8" i="4"/>
  <c r="E10" i="3"/>
  <c r="N9" i="3"/>
  <c r="G10" i="3"/>
  <c r="H10" i="3" s="1"/>
  <c r="J10" i="3" s="1"/>
  <c r="L10" i="3" s="1"/>
  <c r="M10" i="3" s="1"/>
  <c r="N9" i="5"/>
  <c r="E10" i="5"/>
  <c r="G10" i="5"/>
  <c r="H10" i="5" s="1"/>
  <c r="J10" i="5" s="1"/>
  <c r="L10" i="5" s="1"/>
  <c r="M10" i="5" s="1"/>
  <c r="P15" i="5"/>
  <c r="Q15" i="5"/>
  <c r="R15" i="5" s="1"/>
  <c r="S15" i="5" s="1"/>
  <c r="M8" i="2"/>
  <c r="E11" i="3" l="1"/>
  <c r="N10" i="3"/>
  <c r="G11" i="3"/>
  <c r="H11" i="3" s="1"/>
  <c r="J11" i="3" s="1"/>
  <c r="L11" i="3" s="1"/>
  <c r="M11" i="3" s="1"/>
  <c r="L10" i="4"/>
  <c r="N10" i="5"/>
  <c r="G11" i="5"/>
  <c r="H11" i="5" s="1"/>
  <c r="J11" i="5" s="1"/>
  <c r="E11" i="5"/>
  <c r="M9" i="3"/>
  <c r="G11" i="2"/>
  <c r="H11" i="2" s="1"/>
  <c r="J11" i="2" s="1"/>
  <c r="E11" i="2"/>
  <c r="N10" i="2"/>
  <c r="G11" i="4"/>
  <c r="H11" i="4" s="1"/>
  <c r="J11" i="4" s="1"/>
  <c r="L11" i="4" s="1"/>
  <c r="M11" i="4" s="1"/>
  <c r="E11" i="4"/>
  <c r="N10" i="4"/>
  <c r="P16" i="5"/>
  <c r="Q16" i="5"/>
  <c r="R16" i="5" s="1"/>
  <c r="S16" i="5" s="1"/>
  <c r="L11" i="2" l="1"/>
  <c r="G12" i="2"/>
  <c r="H12" i="2" s="1"/>
  <c r="J12" i="2" s="1"/>
  <c r="L12" i="2" s="1"/>
  <c r="M12" i="2" s="1"/>
  <c r="E12" i="2"/>
  <c r="N11" i="2"/>
  <c r="N11" i="5"/>
  <c r="G12" i="5"/>
  <c r="H12" i="5" s="1"/>
  <c r="J12" i="5" s="1"/>
  <c r="L12" i="5" s="1"/>
  <c r="M12" i="5" s="1"/>
  <c r="E12" i="5"/>
  <c r="L11" i="5"/>
  <c r="M10" i="4"/>
  <c r="P17" i="5"/>
  <c r="Q17" i="5"/>
  <c r="R17" i="5" s="1"/>
  <c r="S17" i="5" s="1"/>
  <c r="N11" i="4"/>
  <c r="G12" i="4"/>
  <c r="H12" i="4" s="1"/>
  <c r="J12" i="4" s="1"/>
  <c r="L12" i="4" s="1"/>
  <c r="M12" i="4" s="1"/>
  <c r="E12" i="4"/>
  <c r="E12" i="3"/>
  <c r="G12" i="3"/>
  <c r="H12" i="3" s="1"/>
  <c r="J12" i="3" s="1"/>
  <c r="L12" i="3" s="1"/>
  <c r="N11" i="3"/>
  <c r="M11" i="5" l="1"/>
  <c r="M12" i="3"/>
  <c r="P18" i="5"/>
  <c r="Q18" i="5"/>
  <c r="R18" i="5" s="1"/>
  <c r="S18" i="5" s="1"/>
  <c r="N12" i="5"/>
  <c r="G13" i="5"/>
  <c r="H13" i="5" s="1"/>
  <c r="J13" i="5" s="1"/>
  <c r="L13" i="5" s="1"/>
  <c r="M13" i="5" s="1"/>
  <c r="E13" i="5"/>
  <c r="N12" i="2"/>
  <c r="G13" i="2"/>
  <c r="H13" i="2" s="1"/>
  <c r="J13" i="2" s="1"/>
  <c r="L13" i="2" s="1"/>
  <c r="M13" i="2" s="1"/>
  <c r="E13" i="2"/>
  <c r="E13" i="3"/>
  <c r="N12" i="3"/>
  <c r="G13" i="3"/>
  <c r="H13" i="3" s="1"/>
  <c r="J13" i="3" s="1"/>
  <c r="L13" i="3" s="1"/>
  <c r="M13" i="3" s="1"/>
  <c r="G13" i="4"/>
  <c r="H13" i="4" s="1"/>
  <c r="J13" i="4" s="1"/>
  <c r="L13" i="4" s="1"/>
  <c r="E13" i="4"/>
  <c r="N12" i="4"/>
  <c r="M11" i="2"/>
  <c r="G14" i="2" l="1"/>
  <c r="H14" i="2" s="1"/>
  <c r="J14" i="2" s="1"/>
  <c r="L14" i="2" s="1"/>
  <c r="M14" i="2" s="1"/>
  <c r="E14" i="2"/>
  <c r="N13" i="2"/>
  <c r="Q19" i="5"/>
  <c r="R19" i="5" s="1"/>
  <c r="S19" i="5" s="1"/>
  <c r="P19" i="5"/>
  <c r="G14" i="3"/>
  <c r="H14" i="3" s="1"/>
  <c r="J14" i="3" s="1"/>
  <c r="L14" i="3" s="1"/>
  <c r="M14" i="3" s="1"/>
  <c r="E14" i="3"/>
  <c r="N13" i="3"/>
  <c r="M13" i="4"/>
  <c r="N13" i="5"/>
  <c r="E14" i="5"/>
  <c r="G14" i="5"/>
  <c r="H14" i="5" s="1"/>
  <c r="J14" i="5" s="1"/>
  <c r="L14" i="5" s="1"/>
  <c r="M14" i="5" s="1"/>
  <c r="N13" i="4"/>
  <c r="G14" i="4"/>
  <c r="H14" i="4" s="1"/>
  <c r="J14" i="4" s="1"/>
  <c r="L14" i="4" s="1"/>
  <c r="M14" i="4" s="1"/>
  <c r="E14" i="4"/>
  <c r="N14" i="5" l="1"/>
  <c r="G15" i="5"/>
  <c r="H15" i="5" s="1"/>
  <c r="E15" i="5"/>
  <c r="G15" i="3"/>
  <c r="H15" i="3" s="1"/>
  <c r="E15" i="3"/>
  <c r="N14" i="3"/>
  <c r="E15" i="2"/>
  <c r="N14" i="2"/>
  <c r="G15" i="2"/>
  <c r="H15" i="2" s="1"/>
  <c r="P20" i="5"/>
  <c r="Q20" i="5"/>
  <c r="R20" i="5" s="1"/>
  <c r="S20" i="5" s="1"/>
  <c r="G15" i="4"/>
  <c r="H15" i="4" s="1"/>
  <c r="N14" i="4"/>
  <c r="E15" i="4"/>
  <c r="B31" i="6" l="1"/>
  <c r="J15" i="4"/>
  <c r="L15" i="4" s="1"/>
  <c r="M15" i="4" s="1"/>
  <c r="B25" i="6" s="1"/>
  <c r="P21" i="5"/>
  <c r="Q21" i="5"/>
  <c r="R21" i="5" s="1"/>
  <c r="S21" i="5" s="1"/>
  <c r="B37" i="6"/>
  <c r="G16" i="4"/>
  <c r="H16" i="4" s="1"/>
  <c r="J16" i="4" s="1"/>
  <c r="E16" i="4"/>
  <c r="N15" i="4"/>
  <c r="B43" i="6" s="1"/>
  <c r="B35" i="6"/>
  <c r="N15" i="2"/>
  <c r="B41" i="6" s="1"/>
  <c r="G16" i="2"/>
  <c r="H16" i="2" s="1"/>
  <c r="J16" i="2" s="1"/>
  <c r="E16" i="2"/>
  <c r="B29" i="6"/>
  <c r="J15" i="2"/>
  <c r="L15" i="2" s="1"/>
  <c r="B36" i="6"/>
  <c r="E16" i="3"/>
  <c r="N15" i="3"/>
  <c r="B42" i="6" s="1"/>
  <c r="G16" i="3"/>
  <c r="H16" i="3" s="1"/>
  <c r="J16" i="3" s="1"/>
  <c r="B30" i="6"/>
  <c r="J15" i="3"/>
  <c r="L15" i="3" s="1"/>
  <c r="M15" i="3" s="1"/>
  <c r="B24" i="6" s="1"/>
  <c r="N15" i="5"/>
  <c r="B44" i="6" s="1"/>
  <c r="G16" i="5"/>
  <c r="H16" i="5" s="1"/>
  <c r="J16" i="5" s="1"/>
  <c r="E16" i="5"/>
  <c r="B38" i="6"/>
  <c r="B32" i="6"/>
  <c r="J15" i="5"/>
  <c r="L15" i="5" s="1"/>
  <c r="M15" i="2" l="1"/>
  <c r="B23" i="6" s="1"/>
  <c r="B11" i="6"/>
  <c r="N16" i="2"/>
  <c r="G17" i="2"/>
  <c r="H17" i="2" s="1"/>
  <c r="J17" i="2" s="1"/>
  <c r="L17" i="2" s="1"/>
  <c r="M17" i="2" s="1"/>
  <c r="E17" i="2"/>
  <c r="M15" i="5"/>
  <c r="B26" i="6" s="1"/>
  <c r="B14" i="6"/>
  <c r="N16" i="5"/>
  <c r="G17" i="5"/>
  <c r="H17" i="5" s="1"/>
  <c r="J17" i="5" s="1"/>
  <c r="L17" i="5" s="1"/>
  <c r="M17" i="5" s="1"/>
  <c r="E17" i="5"/>
  <c r="G17" i="4"/>
  <c r="H17" i="4" s="1"/>
  <c r="J17" i="4" s="1"/>
  <c r="L17" i="4" s="1"/>
  <c r="M17" i="4" s="1"/>
  <c r="N16" i="4"/>
  <c r="E17" i="4"/>
  <c r="L16" i="5"/>
  <c r="L16" i="4"/>
  <c r="P22" i="5"/>
  <c r="Q22" i="5"/>
  <c r="R22" i="5" s="1"/>
  <c r="S22" i="5" s="1"/>
  <c r="E17" i="3"/>
  <c r="N16" i="3"/>
  <c r="G17" i="3"/>
  <c r="H17" i="3" s="1"/>
  <c r="J17" i="3" s="1"/>
  <c r="L17" i="3" s="1"/>
  <c r="M17" i="3" s="1"/>
  <c r="L16" i="2"/>
  <c r="L16" i="3"/>
  <c r="G18" i="2" l="1"/>
  <c r="H18" i="2" s="1"/>
  <c r="J18" i="2" s="1"/>
  <c r="E18" i="2"/>
  <c r="N17" i="2"/>
  <c r="M16" i="2"/>
  <c r="M16" i="3"/>
  <c r="G18" i="4"/>
  <c r="H18" i="4" s="1"/>
  <c r="J18" i="4" s="1"/>
  <c r="E18" i="4"/>
  <c r="N17" i="4"/>
  <c r="M16" i="5"/>
  <c r="N17" i="5"/>
  <c r="E18" i="5"/>
  <c r="G18" i="5"/>
  <c r="H18" i="5" s="1"/>
  <c r="J18" i="5" s="1"/>
  <c r="N17" i="3"/>
  <c r="G18" i="3"/>
  <c r="H18" i="3" s="1"/>
  <c r="J18" i="3" s="1"/>
  <c r="E18" i="3"/>
  <c r="Q23" i="5"/>
  <c r="R23" i="5" s="1"/>
  <c r="S23" i="5" s="1"/>
  <c r="P23" i="5"/>
  <c r="M16" i="4"/>
  <c r="E19" i="4" l="1"/>
  <c r="G19" i="4"/>
  <c r="H19" i="4" s="1"/>
  <c r="J19" i="4" s="1"/>
  <c r="L19" i="4" s="1"/>
  <c r="M19" i="4" s="1"/>
  <c r="N18" i="4"/>
  <c r="Q24" i="5"/>
  <c r="R24" i="5" s="1"/>
  <c r="S24" i="5" s="1"/>
  <c r="P24" i="5"/>
  <c r="G19" i="2"/>
  <c r="H19" i="2" s="1"/>
  <c r="J19" i="2" s="1"/>
  <c r="L19" i="2" s="1"/>
  <c r="M19" i="2" s="1"/>
  <c r="E19" i="2"/>
  <c r="N18" i="2"/>
  <c r="L18" i="5"/>
  <c r="N18" i="5"/>
  <c r="G19" i="5"/>
  <c r="H19" i="5" s="1"/>
  <c r="J19" i="5" s="1"/>
  <c r="L19" i="5" s="1"/>
  <c r="M19" i="5" s="1"/>
  <c r="E19" i="5"/>
  <c r="L18" i="4"/>
  <c r="E19" i="3"/>
  <c r="N18" i="3"/>
  <c r="G19" i="3"/>
  <c r="H19" i="3" s="1"/>
  <c r="J19" i="3" s="1"/>
  <c r="L19" i="3" s="1"/>
  <c r="M19" i="3" s="1"/>
  <c r="L18" i="3"/>
  <c r="L18" i="2"/>
  <c r="M18" i="3" l="1"/>
  <c r="M18" i="5"/>
  <c r="G20" i="2"/>
  <c r="H20" i="2" s="1"/>
  <c r="J20" i="2" s="1"/>
  <c r="L20" i="2" s="1"/>
  <c r="M20" i="2" s="1"/>
  <c r="E20" i="2"/>
  <c r="N19" i="2"/>
  <c r="P25" i="5"/>
  <c r="Q25" i="5"/>
  <c r="R25" i="5" s="1"/>
  <c r="S25" i="5" s="1"/>
  <c r="G20" i="4"/>
  <c r="H20" i="4" s="1"/>
  <c r="J20" i="4" s="1"/>
  <c r="N19" i="4"/>
  <c r="E20" i="4"/>
  <c r="M18" i="2"/>
  <c r="G20" i="3"/>
  <c r="H20" i="3" s="1"/>
  <c r="J20" i="3" s="1"/>
  <c r="E20" i="3"/>
  <c r="N19" i="3"/>
  <c r="M18" i="4"/>
  <c r="N19" i="5"/>
  <c r="G20" i="5"/>
  <c r="H20" i="5" s="1"/>
  <c r="J20" i="5" s="1"/>
  <c r="L20" i="5" s="1"/>
  <c r="M20" i="5" s="1"/>
  <c r="E20" i="5"/>
  <c r="L20" i="4" l="1"/>
  <c r="G21" i="4"/>
  <c r="H21" i="4" s="1"/>
  <c r="J21" i="4" s="1"/>
  <c r="L21" i="4" s="1"/>
  <c r="M21" i="4" s="1"/>
  <c r="E21" i="4"/>
  <c r="N20" i="4"/>
  <c r="P26" i="5"/>
  <c r="Q26" i="5"/>
  <c r="R26" i="5" s="1"/>
  <c r="S26" i="5" s="1"/>
  <c r="N20" i="5"/>
  <c r="G21" i="5"/>
  <c r="H21" i="5" s="1"/>
  <c r="J21" i="5" s="1"/>
  <c r="L21" i="5" s="1"/>
  <c r="E21" i="5"/>
  <c r="N20" i="2"/>
  <c r="G21" i="2"/>
  <c r="H21" i="2" s="1"/>
  <c r="J21" i="2" s="1"/>
  <c r="E21" i="2"/>
  <c r="G21" i="3"/>
  <c r="H21" i="3" s="1"/>
  <c r="J21" i="3" s="1"/>
  <c r="L21" i="3" s="1"/>
  <c r="M21" i="3" s="1"/>
  <c r="E21" i="3"/>
  <c r="N20" i="3"/>
  <c r="L20" i="3"/>
  <c r="L21" i="2" l="1"/>
  <c r="P27" i="5"/>
  <c r="Q27" i="5"/>
  <c r="R27" i="5" s="1"/>
  <c r="S27" i="5" s="1"/>
  <c r="N21" i="5"/>
  <c r="E22" i="5"/>
  <c r="G22" i="5"/>
  <c r="H22" i="5" s="1"/>
  <c r="J22" i="5" s="1"/>
  <c r="L22" i="5" s="1"/>
  <c r="M22" i="5" s="1"/>
  <c r="G22" i="2"/>
  <c r="H22" i="2" s="1"/>
  <c r="J22" i="2" s="1"/>
  <c r="L22" i="2" s="1"/>
  <c r="M22" i="2" s="1"/>
  <c r="N21" i="2"/>
  <c r="E22" i="2"/>
  <c r="M21" i="5"/>
  <c r="M20" i="3"/>
  <c r="E22" i="4"/>
  <c r="N21" i="4"/>
  <c r="G22" i="4"/>
  <c r="H22" i="4" s="1"/>
  <c r="J22" i="4" s="1"/>
  <c r="G22" i="3"/>
  <c r="H22" i="3" s="1"/>
  <c r="J22" i="3" s="1"/>
  <c r="E22" i="3"/>
  <c r="N21" i="3"/>
  <c r="M20" i="4"/>
  <c r="G23" i="4" l="1"/>
  <c r="H23" i="4" s="1"/>
  <c r="J23" i="4" s="1"/>
  <c r="L23" i="4" s="1"/>
  <c r="M23" i="4" s="1"/>
  <c r="E23" i="4"/>
  <c r="N22" i="4"/>
  <c r="P28" i="5"/>
  <c r="Q28" i="5"/>
  <c r="R28" i="5" s="1"/>
  <c r="S28" i="5" s="1"/>
  <c r="L22" i="3"/>
  <c r="G23" i="3"/>
  <c r="H23" i="3" s="1"/>
  <c r="J23" i="3" s="1"/>
  <c r="L23" i="3" s="1"/>
  <c r="M23" i="3" s="1"/>
  <c r="E23" i="3"/>
  <c r="N22" i="3"/>
  <c r="E23" i="2"/>
  <c r="N22" i="2"/>
  <c r="G23" i="2"/>
  <c r="H23" i="2" s="1"/>
  <c r="J23" i="2" s="1"/>
  <c r="L23" i="2" s="1"/>
  <c r="M23" i="2" s="1"/>
  <c r="N22" i="5"/>
  <c r="G23" i="5"/>
  <c r="H23" i="5" s="1"/>
  <c r="J23" i="5" s="1"/>
  <c r="L23" i="5" s="1"/>
  <c r="E23" i="5"/>
  <c r="L22" i="4"/>
  <c r="M21" i="2"/>
  <c r="G24" i="3" l="1"/>
  <c r="H24" i="3" s="1"/>
  <c r="J24" i="3" s="1"/>
  <c r="N23" i="3"/>
  <c r="E24" i="3"/>
  <c r="G24" i="2"/>
  <c r="H24" i="2" s="1"/>
  <c r="J24" i="2" s="1"/>
  <c r="L24" i="2" s="1"/>
  <c r="E24" i="2"/>
  <c r="N23" i="2"/>
  <c r="M22" i="4"/>
  <c r="P29" i="5"/>
  <c r="Q29" i="5"/>
  <c r="R29" i="5" s="1"/>
  <c r="S29" i="5" s="1"/>
  <c r="E24" i="4"/>
  <c r="N23" i="4"/>
  <c r="G24" i="4"/>
  <c r="H24" i="4" s="1"/>
  <c r="J24" i="4" s="1"/>
  <c r="M22" i="3"/>
  <c r="N23" i="5"/>
  <c r="G24" i="5"/>
  <c r="H24" i="5" s="1"/>
  <c r="J24" i="5" s="1"/>
  <c r="L24" i="5" s="1"/>
  <c r="M24" i="5" s="1"/>
  <c r="E24" i="5"/>
  <c r="M23" i="5"/>
  <c r="N24" i="4" l="1"/>
  <c r="G25" i="4"/>
  <c r="H25" i="4" s="1"/>
  <c r="J25" i="4" s="1"/>
  <c r="L25" i="4" s="1"/>
  <c r="M25" i="4" s="1"/>
  <c r="E25" i="4"/>
  <c r="P30" i="5"/>
  <c r="Q30" i="5"/>
  <c r="R30" i="5" s="1"/>
  <c r="S30" i="5" s="1"/>
  <c r="L24" i="4"/>
  <c r="G25" i="2"/>
  <c r="H25" i="2" s="1"/>
  <c r="J25" i="2" s="1"/>
  <c r="L25" i="2" s="1"/>
  <c r="M25" i="2" s="1"/>
  <c r="E25" i="2"/>
  <c r="N24" i="2"/>
  <c r="M24" i="2"/>
  <c r="N24" i="5"/>
  <c r="G25" i="5"/>
  <c r="H25" i="5" s="1"/>
  <c r="J25" i="5" s="1"/>
  <c r="L25" i="5" s="1"/>
  <c r="E25" i="5"/>
  <c r="N24" i="3"/>
  <c r="G25" i="3"/>
  <c r="H25" i="3" s="1"/>
  <c r="J25" i="3" s="1"/>
  <c r="L25" i="3" s="1"/>
  <c r="M25" i="3" s="1"/>
  <c r="E25" i="3"/>
  <c r="L24" i="3"/>
  <c r="M25" i="5" l="1"/>
  <c r="E26" i="2"/>
  <c r="N25" i="2"/>
  <c r="G26" i="2"/>
  <c r="H26" i="2" s="1"/>
  <c r="J26" i="2" s="1"/>
  <c r="L26" i="2" s="1"/>
  <c r="N25" i="5"/>
  <c r="E26" i="5"/>
  <c r="G26" i="5"/>
  <c r="H26" i="5" s="1"/>
  <c r="J26" i="5" s="1"/>
  <c r="L26" i="5" s="1"/>
  <c r="M26" i="5" s="1"/>
  <c r="M24" i="4"/>
  <c r="P31" i="5"/>
  <c r="Q31" i="5"/>
  <c r="R31" i="5" s="1"/>
  <c r="S31" i="5" s="1"/>
  <c r="M24" i="3"/>
  <c r="G26" i="4"/>
  <c r="H26" i="4" s="1"/>
  <c r="J26" i="4" s="1"/>
  <c r="L26" i="4" s="1"/>
  <c r="M26" i="4" s="1"/>
  <c r="E26" i="4"/>
  <c r="N25" i="4"/>
  <c r="G26" i="3"/>
  <c r="H26" i="3" s="1"/>
  <c r="J26" i="3" s="1"/>
  <c r="L26" i="3" s="1"/>
  <c r="M26" i="3" s="1"/>
  <c r="E26" i="3"/>
  <c r="N25" i="3"/>
  <c r="E27" i="4" l="1"/>
  <c r="N26" i="4"/>
  <c r="G27" i="4"/>
  <c r="H27" i="4" s="1"/>
  <c r="M26" i="2"/>
  <c r="P32" i="5"/>
  <c r="Q32" i="5"/>
  <c r="R32" i="5" s="1"/>
  <c r="S32" i="5" s="1"/>
  <c r="N26" i="5"/>
  <c r="G27" i="5"/>
  <c r="H27" i="5" s="1"/>
  <c r="E27" i="5"/>
  <c r="G27" i="3"/>
  <c r="H27" i="3" s="1"/>
  <c r="E27" i="3"/>
  <c r="N26" i="3"/>
  <c r="E27" i="2"/>
  <c r="N26" i="2"/>
  <c r="G27" i="2"/>
  <c r="H27" i="2" s="1"/>
  <c r="C29" i="6" l="1"/>
  <c r="J27" i="2"/>
  <c r="L27" i="2" s="1"/>
  <c r="M27" i="2" s="1"/>
  <c r="C23" i="6" s="1"/>
  <c r="C36" i="6"/>
  <c r="E28" i="3"/>
  <c r="G28" i="3"/>
  <c r="H28" i="3" s="1"/>
  <c r="J28" i="3" s="1"/>
  <c r="N27" i="3"/>
  <c r="C42" i="6" s="1"/>
  <c r="N27" i="5"/>
  <c r="C44" i="6" s="1"/>
  <c r="C38" i="6"/>
  <c r="E28" i="5"/>
  <c r="G28" i="5"/>
  <c r="H28" i="5" s="1"/>
  <c r="J28" i="5" s="1"/>
  <c r="P33" i="5"/>
  <c r="Q33" i="5"/>
  <c r="R33" i="5" s="1"/>
  <c r="S33" i="5" s="1"/>
  <c r="C35" i="6"/>
  <c r="G28" i="2"/>
  <c r="H28" i="2" s="1"/>
  <c r="J28" i="2" s="1"/>
  <c r="N27" i="2"/>
  <c r="C41" i="6" s="1"/>
  <c r="E28" i="2"/>
  <c r="C30" i="6"/>
  <c r="J27" i="3"/>
  <c r="L27" i="3" s="1"/>
  <c r="M27" i="3" s="1"/>
  <c r="C24" i="6" s="1"/>
  <c r="J27" i="5"/>
  <c r="L27" i="5" s="1"/>
  <c r="M27" i="5" s="1"/>
  <c r="C26" i="6" s="1"/>
  <c r="C32" i="6"/>
  <c r="C31" i="6"/>
  <c r="J27" i="4"/>
  <c r="L27" i="4" s="1"/>
  <c r="M27" i="4" s="1"/>
  <c r="C25" i="6" s="1"/>
  <c r="C37" i="6"/>
  <c r="N27" i="4"/>
  <c r="C43" i="6" s="1"/>
  <c r="G28" i="4"/>
  <c r="H28" i="4" s="1"/>
  <c r="J28" i="4" s="1"/>
  <c r="E28" i="4"/>
  <c r="N28" i="2" l="1"/>
  <c r="G29" i="2"/>
  <c r="H29" i="2" s="1"/>
  <c r="J29" i="2" s="1"/>
  <c r="L29" i="2" s="1"/>
  <c r="M29" i="2" s="1"/>
  <c r="E29" i="2"/>
  <c r="L28" i="2"/>
  <c r="G29" i="4"/>
  <c r="H29" i="4" s="1"/>
  <c r="J29" i="4" s="1"/>
  <c r="L29" i="4" s="1"/>
  <c r="M29" i="4" s="1"/>
  <c r="E29" i="4"/>
  <c r="N28" i="4"/>
  <c r="N28" i="5"/>
  <c r="G29" i="5"/>
  <c r="H29" i="5" s="1"/>
  <c r="J29" i="5" s="1"/>
  <c r="L29" i="5" s="1"/>
  <c r="M29" i="5" s="1"/>
  <c r="E29" i="5"/>
  <c r="P34" i="5"/>
  <c r="Q34" i="5"/>
  <c r="R34" i="5" s="1"/>
  <c r="S34" i="5" s="1"/>
  <c r="L28" i="3"/>
  <c r="G29" i="3"/>
  <c r="H29" i="3" s="1"/>
  <c r="J29" i="3" s="1"/>
  <c r="L29" i="3" s="1"/>
  <c r="M29" i="3" s="1"/>
  <c r="E29" i="3"/>
  <c r="N28" i="3"/>
  <c r="L28" i="5"/>
  <c r="L28" i="4"/>
  <c r="M28" i="3" l="1"/>
  <c r="M28" i="4"/>
  <c r="M28" i="2"/>
  <c r="N29" i="5"/>
  <c r="G30" i="5"/>
  <c r="H30" i="5" s="1"/>
  <c r="J30" i="5" s="1"/>
  <c r="L30" i="5" s="1"/>
  <c r="M30" i="5" s="1"/>
  <c r="E30" i="5"/>
  <c r="M28" i="5"/>
  <c r="P35" i="5"/>
  <c r="Q35" i="5"/>
  <c r="R35" i="5" s="1"/>
  <c r="S35" i="5" s="1"/>
  <c r="G30" i="4"/>
  <c r="H30" i="4" s="1"/>
  <c r="J30" i="4" s="1"/>
  <c r="N29" i="4"/>
  <c r="E30" i="4"/>
  <c r="N29" i="2"/>
  <c r="G30" i="2"/>
  <c r="H30" i="2" s="1"/>
  <c r="J30" i="2" s="1"/>
  <c r="E30" i="2"/>
  <c r="G30" i="3"/>
  <c r="H30" i="3" s="1"/>
  <c r="J30" i="3" s="1"/>
  <c r="N29" i="3"/>
  <c r="E30" i="3"/>
  <c r="N30" i="5" l="1"/>
  <c r="G31" i="5"/>
  <c r="H31" i="5" s="1"/>
  <c r="J31" i="5" s="1"/>
  <c r="L31" i="5" s="1"/>
  <c r="E31" i="5"/>
  <c r="L30" i="4"/>
  <c r="P36" i="5"/>
  <c r="Q36" i="5"/>
  <c r="R36" i="5" s="1"/>
  <c r="S36" i="5" s="1"/>
  <c r="L30" i="3"/>
  <c r="E31" i="4"/>
  <c r="G31" i="4"/>
  <c r="H31" i="4" s="1"/>
  <c r="J31" i="4" s="1"/>
  <c r="L31" i="4" s="1"/>
  <c r="M31" i="4" s="1"/>
  <c r="N30" i="4"/>
  <c r="N30" i="3"/>
  <c r="G31" i="3"/>
  <c r="H31" i="3" s="1"/>
  <c r="J31" i="3" s="1"/>
  <c r="L31" i="3" s="1"/>
  <c r="M31" i="3" s="1"/>
  <c r="E31" i="3"/>
  <c r="E31" i="2"/>
  <c r="N30" i="2"/>
  <c r="G31" i="2"/>
  <c r="H31" i="2" s="1"/>
  <c r="J31" i="2" s="1"/>
  <c r="L31" i="2" s="1"/>
  <c r="M31" i="2" s="1"/>
  <c r="L30" i="2"/>
  <c r="G32" i="4" l="1"/>
  <c r="H32" i="4" s="1"/>
  <c r="J32" i="4" s="1"/>
  <c r="L32" i="4" s="1"/>
  <c r="M32" i="4" s="1"/>
  <c r="E32" i="4"/>
  <c r="N31" i="4"/>
  <c r="M30" i="3"/>
  <c r="M30" i="4"/>
  <c r="N31" i="2"/>
  <c r="E32" i="2"/>
  <c r="G32" i="2"/>
  <c r="H32" i="2" s="1"/>
  <c r="J32" i="2" s="1"/>
  <c r="N31" i="5"/>
  <c r="G32" i="5"/>
  <c r="H32" i="5" s="1"/>
  <c r="J32" i="5" s="1"/>
  <c r="E32" i="5"/>
  <c r="P37" i="5"/>
  <c r="Q37" i="5"/>
  <c r="R37" i="5" s="1"/>
  <c r="S37" i="5" s="1"/>
  <c r="M30" i="2"/>
  <c r="G32" i="3"/>
  <c r="H32" i="3" s="1"/>
  <c r="J32" i="3" s="1"/>
  <c r="E32" i="3"/>
  <c r="N31" i="3"/>
  <c r="M31" i="5"/>
  <c r="L32" i="5" l="1"/>
  <c r="L32" i="3"/>
  <c r="P38" i="5"/>
  <c r="Q38" i="5"/>
  <c r="R38" i="5" s="1"/>
  <c r="S38" i="5" s="1"/>
  <c r="N32" i="5"/>
  <c r="G33" i="5"/>
  <c r="H33" i="5" s="1"/>
  <c r="J33" i="5" s="1"/>
  <c r="L33" i="5" s="1"/>
  <c r="M33" i="5" s="1"/>
  <c r="E33" i="5"/>
  <c r="L32" i="2"/>
  <c r="N32" i="2"/>
  <c r="G33" i="2"/>
  <c r="H33" i="2" s="1"/>
  <c r="J33" i="2" s="1"/>
  <c r="L33" i="2" s="1"/>
  <c r="M33" i="2" s="1"/>
  <c r="E33" i="2"/>
  <c r="G33" i="3"/>
  <c r="H33" i="3" s="1"/>
  <c r="J33" i="3" s="1"/>
  <c r="L33" i="3" s="1"/>
  <c r="M33" i="3" s="1"/>
  <c r="E33" i="3"/>
  <c r="N32" i="3"/>
  <c r="G33" i="4"/>
  <c r="H33" i="4" s="1"/>
  <c r="J33" i="4" s="1"/>
  <c r="E33" i="4"/>
  <c r="N32" i="4"/>
  <c r="M32" i="2" l="1"/>
  <c r="N33" i="5"/>
  <c r="G34" i="5"/>
  <c r="H34" i="5" s="1"/>
  <c r="J34" i="5" s="1"/>
  <c r="L34" i="5" s="1"/>
  <c r="M34" i="5" s="1"/>
  <c r="E34" i="5"/>
  <c r="L33" i="4"/>
  <c r="M32" i="3"/>
  <c r="G34" i="2"/>
  <c r="H34" i="2" s="1"/>
  <c r="J34" i="2" s="1"/>
  <c r="L34" i="2" s="1"/>
  <c r="M34" i="2" s="1"/>
  <c r="E34" i="2"/>
  <c r="N33" i="2"/>
  <c r="P39" i="5"/>
  <c r="Q39" i="5"/>
  <c r="R39" i="5" s="1"/>
  <c r="S39" i="5" s="1"/>
  <c r="G34" i="4"/>
  <c r="H34" i="4" s="1"/>
  <c r="J34" i="4" s="1"/>
  <c r="L34" i="4" s="1"/>
  <c r="M34" i="4" s="1"/>
  <c r="E34" i="4"/>
  <c r="N33" i="4"/>
  <c r="N33" i="3"/>
  <c r="G34" i="3"/>
  <c r="H34" i="3" s="1"/>
  <c r="J34" i="3" s="1"/>
  <c r="L34" i="3" s="1"/>
  <c r="M34" i="3" s="1"/>
  <c r="E34" i="3"/>
  <c r="M32" i="5"/>
  <c r="N34" i="5" l="1"/>
  <c r="G35" i="5"/>
  <c r="H35" i="5" s="1"/>
  <c r="J35" i="5" s="1"/>
  <c r="L35" i="5" s="1"/>
  <c r="E35" i="5"/>
  <c r="P40" i="5"/>
  <c r="Q40" i="5"/>
  <c r="R40" i="5" s="1"/>
  <c r="S40" i="5" s="1"/>
  <c r="G35" i="2"/>
  <c r="H35" i="2" s="1"/>
  <c r="J35" i="2" s="1"/>
  <c r="E35" i="2"/>
  <c r="N34" i="2"/>
  <c r="M33" i="4"/>
  <c r="G35" i="3"/>
  <c r="H35" i="3" s="1"/>
  <c r="J35" i="3" s="1"/>
  <c r="E35" i="3"/>
  <c r="N34" i="3"/>
  <c r="E35" i="4"/>
  <c r="N34" i="4"/>
  <c r="G35" i="4"/>
  <c r="H35" i="4" s="1"/>
  <c r="J35" i="4" s="1"/>
  <c r="N35" i="5" l="1"/>
  <c r="G36" i="5"/>
  <c r="H36" i="5" s="1"/>
  <c r="J36" i="5" s="1"/>
  <c r="L36" i="5" s="1"/>
  <c r="M36" i="5" s="1"/>
  <c r="E36" i="5"/>
  <c r="L35" i="2"/>
  <c r="M35" i="5"/>
  <c r="G36" i="3"/>
  <c r="H36" i="3" s="1"/>
  <c r="J36" i="3" s="1"/>
  <c r="L36" i="3" s="1"/>
  <c r="M36" i="3" s="1"/>
  <c r="N35" i="3"/>
  <c r="E36" i="3"/>
  <c r="L35" i="3"/>
  <c r="G36" i="2"/>
  <c r="H36" i="2" s="1"/>
  <c r="J36" i="2" s="1"/>
  <c r="L36" i="2" s="1"/>
  <c r="M36" i="2" s="1"/>
  <c r="E36" i="2"/>
  <c r="N35" i="2"/>
  <c r="P41" i="5"/>
  <c r="Q41" i="5"/>
  <c r="R41" i="5" s="1"/>
  <c r="S41" i="5" s="1"/>
  <c r="L35" i="4"/>
  <c r="G36" i="4"/>
  <c r="H36" i="4" s="1"/>
  <c r="J36" i="4" s="1"/>
  <c r="L36" i="4" s="1"/>
  <c r="M36" i="4" s="1"/>
  <c r="N35" i="4"/>
  <c r="E36" i="4"/>
  <c r="G37" i="4" l="1"/>
  <c r="H37" i="4" s="1"/>
  <c r="J37" i="4" s="1"/>
  <c r="L37" i="4" s="1"/>
  <c r="M37" i="4" s="1"/>
  <c r="E37" i="4"/>
  <c r="N36" i="4"/>
  <c r="M35" i="2"/>
  <c r="N36" i="5"/>
  <c r="G37" i="5"/>
  <c r="H37" i="5" s="1"/>
  <c r="J37" i="5" s="1"/>
  <c r="L37" i="5" s="1"/>
  <c r="E37" i="5"/>
  <c r="G37" i="2"/>
  <c r="H37" i="2" s="1"/>
  <c r="J37" i="2" s="1"/>
  <c r="L37" i="2" s="1"/>
  <c r="M37" i="2" s="1"/>
  <c r="N36" i="2"/>
  <c r="E37" i="2"/>
  <c r="N36" i="3"/>
  <c r="G37" i="3"/>
  <c r="H37" i="3" s="1"/>
  <c r="J37" i="3" s="1"/>
  <c r="L37" i="3" s="1"/>
  <c r="M37" i="3" s="1"/>
  <c r="E37" i="3"/>
  <c r="M35" i="3"/>
  <c r="M35" i="4"/>
  <c r="P42" i="5"/>
  <c r="Q42" i="5"/>
  <c r="R42" i="5" s="1"/>
  <c r="S42" i="5" s="1"/>
  <c r="N37" i="2" l="1"/>
  <c r="G38" i="2"/>
  <c r="H38" i="2" s="1"/>
  <c r="J38" i="2" s="1"/>
  <c r="L38" i="2" s="1"/>
  <c r="M38" i="2" s="1"/>
  <c r="E38" i="2"/>
  <c r="N37" i="5"/>
  <c r="G38" i="5"/>
  <c r="H38" i="5" s="1"/>
  <c r="J38" i="5" s="1"/>
  <c r="L38" i="5" s="1"/>
  <c r="M38" i="5" s="1"/>
  <c r="E38" i="5"/>
  <c r="M37" i="5"/>
  <c r="P43" i="5"/>
  <c r="Q43" i="5"/>
  <c r="R43" i="5" s="1"/>
  <c r="S43" i="5" s="1"/>
  <c r="G38" i="3"/>
  <c r="H38" i="3" s="1"/>
  <c r="J38" i="3" s="1"/>
  <c r="L38" i="3" s="1"/>
  <c r="E38" i="3"/>
  <c r="N37" i="3"/>
  <c r="G38" i="4"/>
  <c r="H38" i="4" s="1"/>
  <c r="J38" i="4" s="1"/>
  <c r="L38" i="4" s="1"/>
  <c r="E38" i="4"/>
  <c r="N37" i="4"/>
  <c r="M38" i="4" l="1"/>
  <c r="M38" i="3"/>
  <c r="P44" i="5"/>
  <c r="Q44" i="5"/>
  <c r="R44" i="5" s="1"/>
  <c r="S44" i="5" s="1"/>
  <c r="N38" i="4"/>
  <c r="G39" i="4"/>
  <c r="H39" i="4" s="1"/>
  <c r="E39" i="4"/>
  <c r="E39" i="3"/>
  <c r="N38" i="3"/>
  <c r="G39" i="3"/>
  <c r="H39" i="3" s="1"/>
  <c r="N38" i="5"/>
  <c r="E39" i="5"/>
  <c r="G39" i="5"/>
  <c r="H39" i="5" s="1"/>
  <c r="E39" i="2"/>
  <c r="N38" i="2"/>
  <c r="G39" i="2"/>
  <c r="H39" i="2" s="1"/>
  <c r="D35" i="6" l="1"/>
  <c r="E40" i="2"/>
  <c r="N39" i="2"/>
  <c r="D41" i="6" s="1"/>
  <c r="G40" i="2"/>
  <c r="H40" i="2" s="1"/>
  <c r="J40" i="2" s="1"/>
  <c r="D30" i="6"/>
  <c r="J39" i="3"/>
  <c r="L39" i="3" s="1"/>
  <c r="M39" i="3" s="1"/>
  <c r="D24" i="6" s="1"/>
  <c r="N39" i="5"/>
  <c r="D44" i="6" s="1"/>
  <c r="D38" i="6"/>
  <c r="G40" i="5"/>
  <c r="H40" i="5" s="1"/>
  <c r="J40" i="5" s="1"/>
  <c r="E40" i="5"/>
  <c r="D32" i="6"/>
  <c r="J39" i="5"/>
  <c r="L39" i="5" s="1"/>
  <c r="M39" i="5" s="1"/>
  <c r="D26" i="6" s="1"/>
  <c r="D36" i="6"/>
  <c r="G40" i="3"/>
  <c r="H40" i="3" s="1"/>
  <c r="J40" i="3" s="1"/>
  <c r="E40" i="3"/>
  <c r="N39" i="3"/>
  <c r="D42" i="6" s="1"/>
  <c r="E40" i="4"/>
  <c r="N39" i="4"/>
  <c r="D43" i="6" s="1"/>
  <c r="D37" i="6"/>
  <c r="G40" i="4"/>
  <c r="H40" i="4" s="1"/>
  <c r="J40" i="4" s="1"/>
  <c r="D31" i="6"/>
  <c r="J39" i="4"/>
  <c r="L39" i="4" s="1"/>
  <c r="M39" i="4" s="1"/>
  <c r="D25" i="6" s="1"/>
  <c r="P45" i="5"/>
  <c r="Q45" i="5"/>
  <c r="R45" i="5" s="1"/>
  <c r="S45" i="5" s="1"/>
  <c r="D29" i="6"/>
  <c r="J39" i="2"/>
  <c r="L39" i="2" s="1"/>
  <c r="M39" i="2" s="1"/>
  <c r="D23" i="6" s="1"/>
  <c r="G41" i="3" l="1"/>
  <c r="H41" i="3" s="1"/>
  <c r="J41" i="3" s="1"/>
  <c r="L41" i="3" s="1"/>
  <c r="M41" i="3" s="1"/>
  <c r="E41" i="3"/>
  <c r="N40" i="3"/>
  <c r="L40" i="3"/>
  <c r="P46" i="5"/>
  <c r="Q46" i="5"/>
  <c r="R46" i="5" s="1"/>
  <c r="S46" i="5" s="1"/>
  <c r="N40" i="5"/>
  <c r="G41" i="5"/>
  <c r="H41" i="5" s="1"/>
  <c r="J41" i="5" s="1"/>
  <c r="L41" i="5" s="1"/>
  <c r="M41" i="5" s="1"/>
  <c r="E41" i="5"/>
  <c r="L40" i="4"/>
  <c r="L40" i="2"/>
  <c r="L40" i="5"/>
  <c r="G41" i="2"/>
  <c r="H41" i="2" s="1"/>
  <c r="J41" i="2" s="1"/>
  <c r="L41" i="2" s="1"/>
  <c r="M41" i="2" s="1"/>
  <c r="E41" i="2"/>
  <c r="N40" i="2"/>
  <c r="G41" i="4"/>
  <c r="H41" i="4" s="1"/>
  <c r="J41" i="4" s="1"/>
  <c r="L41" i="4" s="1"/>
  <c r="M41" i="4" s="1"/>
  <c r="E41" i="4"/>
  <c r="N40" i="4"/>
  <c r="E42" i="4" l="1"/>
  <c r="N41" i="4"/>
  <c r="G42" i="4"/>
  <c r="H42" i="4" s="1"/>
  <c r="J42" i="4" s="1"/>
  <c r="M40" i="3"/>
  <c r="M40" i="5"/>
  <c r="M40" i="2"/>
  <c r="M40" i="4"/>
  <c r="N41" i="5"/>
  <c r="E42" i="5"/>
  <c r="G42" i="5"/>
  <c r="H42" i="5" s="1"/>
  <c r="J42" i="5" s="1"/>
  <c r="P47" i="5"/>
  <c r="Q47" i="5"/>
  <c r="R47" i="5" s="1"/>
  <c r="S47" i="5" s="1"/>
  <c r="E42" i="2"/>
  <c r="N41" i="2"/>
  <c r="G42" i="2"/>
  <c r="H42" i="2" s="1"/>
  <c r="J42" i="2" s="1"/>
  <c r="G42" i="3"/>
  <c r="H42" i="3" s="1"/>
  <c r="J42" i="3" s="1"/>
  <c r="E42" i="3"/>
  <c r="N41" i="3"/>
  <c r="L42" i="5" l="1"/>
  <c r="N42" i="5"/>
  <c r="G43" i="5"/>
  <c r="H43" i="5" s="1"/>
  <c r="J43" i="5" s="1"/>
  <c r="L43" i="5" s="1"/>
  <c r="M43" i="5" s="1"/>
  <c r="E43" i="5"/>
  <c r="P48" i="5"/>
  <c r="Q48" i="5"/>
  <c r="R48" i="5" s="1"/>
  <c r="S48" i="5" s="1"/>
  <c r="G43" i="3"/>
  <c r="H43" i="3" s="1"/>
  <c r="J43" i="3" s="1"/>
  <c r="L43" i="3" s="1"/>
  <c r="M43" i="3" s="1"/>
  <c r="E43" i="3"/>
  <c r="N42" i="3"/>
  <c r="L42" i="3"/>
  <c r="L42" i="2"/>
  <c r="L42" i="4"/>
  <c r="E43" i="2"/>
  <c r="G43" i="2"/>
  <c r="H43" i="2" s="1"/>
  <c r="J43" i="2" s="1"/>
  <c r="L43" i="2" s="1"/>
  <c r="M43" i="2" s="1"/>
  <c r="N42" i="2"/>
  <c r="E43" i="4"/>
  <c r="N42" i="4"/>
  <c r="G43" i="4"/>
  <c r="H43" i="4" s="1"/>
  <c r="J43" i="4" s="1"/>
  <c r="L43" i="4" s="1"/>
  <c r="M43" i="4" s="1"/>
  <c r="E44" i="3" l="1"/>
  <c r="G44" i="3"/>
  <c r="H44" i="3" s="1"/>
  <c r="J44" i="3" s="1"/>
  <c r="N43" i="3"/>
  <c r="P49" i="5"/>
  <c r="Q49" i="5"/>
  <c r="R49" i="5" s="1"/>
  <c r="S49" i="5" s="1"/>
  <c r="G44" i="2"/>
  <c r="H44" i="2" s="1"/>
  <c r="J44" i="2" s="1"/>
  <c r="N43" i="2"/>
  <c r="E44" i="2"/>
  <c r="N43" i="5"/>
  <c r="G44" i="5"/>
  <c r="H44" i="5" s="1"/>
  <c r="J44" i="5" s="1"/>
  <c r="L44" i="5" s="1"/>
  <c r="M44" i="5" s="1"/>
  <c r="E44" i="5"/>
  <c r="M42" i="3"/>
  <c r="G44" i="4"/>
  <c r="H44" i="4" s="1"/>
  <c r="J44" i="4" s="1"/>
  <c r="L44" i="4" s="1"/>
  <c r="M44" i="4" s="1"/>
  <c r="E44" i="4"/>
  <c r="N43" i="4"/>
  <c r="M42" i="4"/>
  <c r="M42" i="2"/>
  <c r="M42" i="5"/>
  <c r="G45" i="2" l="1"/>
  <c r="H45" i="2" s="1"/>
  <c r="J45" i="2" s="1"/>
  <c r="L45" i="2" s="1"/>
  <c r="M45" i="2" s="1"/>
  <c r="N44" i="2"/>
  <c r="E45" i="2"/>
  <c r="N44" i="5"/>
  <c r="G45" i="5"/>
  <c r="H45" i="5" s="1"/>
  <c r="J45" i="5" s="1"/>
  <c r="L45" i="5" s="1"/>
  <c r="E45" i="5"/>
  <c r="L44" i="2"/>
  <c r="P50" i="5"/>
  <c r="Q50" i="5"/>
  <c r="R50" i="5" s="1"/>
  <c r="S50" i="5" s="1"/>
  <c r="E45" i="4"/>
  <c r="N44" i="4"/>
  <c r="G45" i="4"/>
  <c r="H45" i="4" s="1"/>
  <c r="J45" i="4" s="1"/>
  <c r="L45" i="4" s="1"/>
  <c r="M45" i="4" s="1"/>
  <c r="L44" i="3"/>
  <c r="N44" i="3"/>
  <c r="G45" i="3"/>
  <c r="H45" i="3" s="1"/>
  <c r="J45" i="3" s="1"/>
  <c r="L45" i="3" s="1"/>
  <c r="M45" i="3" s="1"/>
  <c r="E45" i="3"/>
  <c r="N45" i="4" l="1"/>
  <c r="G46" i="4"/>
  <c r="H46" i="4" s="1"/>
  <c r="J46" i="4" s="1"/>
  <c r="L46" i="4" s="1"/>
  <c r="M46" i="4" s="1"/>
  <c r="E46" i="4"/>
  <c r="P51" i="5"/>
  <c r="Q51" i="5"/>
  <c r="R51" i="5" s="1"/>
  <c r="S51" i="5" s="1"/>
  <c r="G46" i="3"/>
  <c r="H46" i="3" s="1"/>
  <c r="J46" i="3" s="1"/>
  <c r="L46" i="3" s="1"/>
  <c r="M46" i="3" s="1"/>
  <c r="E46" i="3"/>
  <c r="N45" i="3"/>
  <c r="N45" i="2"/>
  <c r="G46" i="2"/>
  <c r="H46" i="2" s="1"/>
  <c r="J46" i="2" s="1"/>
  <c r="E46" i="2"/>
  <c r="M44" i="2"/>
  <c r="M44" i="3"/>
  <c r="N45" i="5"/>
  <c r="G46" i="5"/>
  <c r="H46" i="5" s="1"/>
  <c r="J46" i="5" s="1"/>
  <c r="E46" i="5"/>
  <c r="M45" i="5"/>
  <c r="E47" i="2" l="1"/>
  <c r="N46" i="2"/>
  <c r="G47" i="2"/>
  <c r="H47" i="2" s="1"/>
  <c r="J47" i="2" s="1"/>
  <c r="L47" i="2" s="1"/>
  <c r="M47" i="2" s="1"/>
  <c r="L46" i="2"/>
  <c r="N46" i="5"/>
  <c r="G47" i="5"/>
  <c r="H47" i="5" s="1"/>
  <c r="J47" i="5" s="1"/>
  <c r="L47" i="5" s="1"/>
  <c r="M47" i="5" s="1"/>
  <c r="E47" i="5"/>
  <c r="P52" i="5"/>
  <c r="Q52" i="5"/>
  <c r="R52" i="5" s="1"/>
  <c r="S52" i="5" s="1"/>
  <c r="G47" i="4"/>
  <c r="H47" i="4" s="1"/>
  <c r="J47" i="4" s="1"/>
  <c r="L47" i="4" s="1"/>
  <c r="N46" i="4"/>
  <c r="E47" i="4"/>
  <c r="E47" i="3"/>
  <c r="G47" i="3"/>
  <c r="H47" i="3" s="1"/>
  <c r="J47" i="3" s="1"/>
  <c r="N46" i="3"/>
  <c r="L46" i="5"/>
  <c r="M47" i="4" l="1"/>
  <c r="L47" i="3"/>
  <c r="E48" i="4"/>
  <c r="N47" i="4"/>
  <c r="G48" i="4"/>
  <c r="H48" i="4" s="1"/>
  <c r="J48" i="4" s="1"/>
  <c r="L48" i="4" s="1"/>
  <c r="M48" i="4" s="1"/>
  <c r="P53" i="5"/>
  <c r="Q53" i="5"/>
  <c r="R53" i="5" s="1"/>
  <c r="S53" i="5" s="1"/>
  <c r="N47" i="5"/>
  <c r="G48" i="5"/>
  <c r="H48" i="5" s="1"/>
  <c r="J48" i="5" s="1"/>
  <c r="L48" i="5" s="1"/>
  <c r="M48" i="5" s="1"/>
  <c r="E48" i="5"/>
  <c r="M46" i="2"/>
  <c r="N47" i="3"/>
  <c r="G48" i="3"/>
  <c r="H48" i="3" s="1"/>
  <c r="J48" i="3" s="1"/>
  <c r="L48" i="3" s="1"/>
  <c r="M48" i="3" s="1"/>
  <c r="E48" i="3"/>
  <c r="M46" i="5"/>
  <c r="N47" i="2"/>
  <c r="E48" i="2"/>
  <c r="G48" i="2"/>
  <c r="H48" i="2" s="1"/>
  <c r="J48" i="2" s="1"/>
  <c r="N48" i="5" l="1"/>
  <c r="G49" i="5"/>
  <c r="H49" i="5" s="1"/>
  <c r="J49" i="5" s="1"/>
  <c r="L49" i="5" s="1"/>
  <c r="M49" i="5" s="1"/>
  <c r="E49" i="5"/>
  <c r="P54" i="5"/>
  <c r="Q54" i="5"/>
  <c r="R54" i="5" s="1"/>
  <c r="S54" i="5" s="1"/>
  <c r="L48" i="2"/>
  <c r="N48" i="2"/>
  <c r="G49" i="2"/>
  <c r="H49" i="2" s="1"/>
  <c r="J49" i="2" s="1"/>
  <c r="L49" i="2" s="1"/>
  <c r="M49" i="2" s="1"/>
  <c r="E49" i="2"/>
  <c r="N48" i="4"/>
  <c r="G49" i="4"/>
  <c r="H49" i="4" s="1"/>
  <c r="J49" i="4" s="1"/>
  <c r="L49" i="4" s="1"/>
  <c r="M49" i="4" s="1"/>
  <c r="E49" i="4"/>
  <c r="M47" i="3"/>
  <c r="G49" i="3"/>
  <c r="H49" i="3" s="1"/>
  <c r="J49" i="3" s="1"/>
  <c r="L49" i="3" s="1"/>
  <c r="M49" i="3" s="1"/>
  <c r="E49" i="3"/>
  <c r="N48" i="3"/>
  <c r="P55" i="5" l="1"/>
  <c r="Q55" i="5"/>
  <c r="R55" i="5" s="1"/>
  <c r="S55" i="5" s="1"/>
  <c r="G50" i="4"/>
  <c r="H50" i="4" s="1"/>
  <c r="J50" i="4" s="1"/>
  <c r="L50" i="4" s="1"/>
  <c r="M50" i="4" s="1"/>
  <c r="E50" i="4"/>
  <c r="N49" i="4"/>
  <c r="G50" i="2"/>
  <c r="H50" i="2" s="1"/>
  <c r="J50" i="2" s="1"/>
  <c r="L50" i="2" s="1"/>
  <c r="M50" i="2" s="1"/>
  <c r="E50" i="2"/>
  <c r="N49" i="2"/>
  <c r="M48" i="2"/>
  <c r="N49" i="5"/>
  <c r="G50" i="5"/>
  <c r="H50" i="5" s="1"/>
  <c r="J50" i="5" s="1"/>
  <c r="L50" i="5" s="1"/>
  <c r="M50" i="5" s="1"/>
  <c r="E50" i="5"/>
  <c r="N49" i="3"/>
  <c r="E50" i="3"/>
  <c r="G50" i="3"/>
  <c r="H50" i="3" s="1"/>
  <c r="J50" i="3" s="1"/>
  <c r="L50" i="3" s="1"/>
  <c r="M50" i="3" s="1"/>
  <c r="E51" i="3" l="1"/>
  <c r="N50" i="3"/>
  <c r="G51" i="3"/>
  <c r="H51" i="3" s="1"/>
  <c r="G51" i="2"/>
  <c r="H51" i="2" s="1"/>
  <c r="E51" i="2"/>
  <c r="N50" i="2"/>
  <c r="N50" i="5"/>
  <c r="G51" i="5"/>
  <c r="H51" i="5" s="1"/>
  <c r="E51" i="5"/>
  <c r="G51" i="4"/>
  <c r="H51" i="4" s="1"/>
  <c r="E51" i="4"/>
  <c r="N50" i="4"/>
  <c r="P56" i="5"/>
  <c r="Q56" i="5"/>
  <c r="R56" i="5" s="1"/>
  <c r="S56" i="5" s="1"/>
  <c r="N51" i="5" l="1"/>
  <c r="E44" i="6" s="1"/>
  <c r="E38" i="6"/>
  <c r="G52" i="5"/>
  <c r="H52" i="5" s="1"/>
  <c r="J52" i="5" s="1"/>
  <c r="E52" i="5"/>
  <c r="E37" i="6"/>
  <c r="N51" i="4"/>
  <c r="E43" i="6" s="1"/>
  <c r="G52" i="4"/>
  <c r="H52" i="4" s="1"/>
  <c r="J52" i="4" s="1"/>
  <c r="E52" i="4"/>
  <c r="E32" i="6"/>
  <c r="J51" i="5"/>
  <c r="L51" i="5" s="1"/>
  <c r="M51" i="5" s="1"/>
  <c r="E26" i="6" s="1"/>
  <c r="E29" i="6"/>
  <c r="J51" i="2"/>
  <c r="L51" i="2" s="1"/>
  <c r="M51" i="2" s="1"/>
  <c r="E23" i="6" s="1"/>
  <c r="P57" i="5"/>
  <c r="Q57" i="5"/>
  <c r="R57" i="5" s="1"/>
  <c r="S57" i="5" s="1"/>
  <c r="E31" i="6"/>
  <c r="J51" i="4"/>
  <c r="L51" i="4" s="1"/>
  <c r="M51" i="4" s="1"/>
  <c r="E25" i="6" s="1"/>
  <c r="E35" i="6"/>
  <c r="G52" i="2"/>
  <c r="H52" i="2" s="1"/>
  <c r="J52" i="2" s="1"/>
  <c r="E52" i="2"/>
  <c r="N51" i="2"/>
  <c r="E41" i="6" s="1"/>
  <c r="E30" i="6"/>
  <c r="J51" i="3"/>
  <c r="L51" i="3" s="1"/>
  <c r="M51" i="3" s="1"/>
  <c r="E24" i="6" s="1"/>
  <c r="E36" i="6"/>
  <c r="G52" i="3"/>
  <c r="H52" i="3" s="1"/>
  <c r="J52" i="3" s="1"/>
  <c r="E52" i="3"/>
  <c r="N51" i="3"/>
  <c r="E42" i="6" s="1"/>
  <c r="L52" i="4" l="1"/>
  <c r="N52" i="3"/>
  <c r="G53" i="3"/>
  <c r="H53" i="3" s="1"/>
  <c r="J53" i="3" s="1"/>
  <c r="L53" i="3" s="1"/>
  <c r="M53" i="3" s="1"/>
  <c r="E53" i="3"/>
  <c r="G53" i="4"/>
  <c r="H53" i="4" s="1"/>
  <c r="J53" i="4" s="1"/>
  <c r="L53" i="4" s="1"/>
  <c r="M53" i="4" s="1"/>
  <c r="E53" i="4"/>
  <c r="N52" i="4"/>
  <c r="N52" i="5"/>
  <c r="G53" i="5"/>
  <c r="H53" i="5" s="1"/>
  <c r="J53" i="5" s="1"/>
  <c r="L53" i="5" s="1"/>
  <c r="M53" i="5" s="1"/>
  <c r="E53" i="5"/>
  <c r="G53" i="2"/>
  <c r="H53" i="2" s="1"/>
  <c r="J53" i="2" s="1"/>
  <c r="L53" i="2" s="1"/>
  <c r="M53" i="2" s="1"/>
  <c r="N52" i="2"/>
  <c r="E53" i="2"/>
  <c r="L52" i="5"/>
  <c r="L52" i="3"/>
  <c r="L52" i="2"/>
  <c r="P58" i="5"/>
  <c r="Q58" i="5"/>
  <c r="R58" i="5" s="1"/>
  <c r="S58" i="5" s="1"/>
  <c r="M52" i="5" l="1"/>
  <c r="N53" i="5"/>
  <c r="G54" i="5"/>
  <c r="H54" i="5" s="1"/>
  <c r="J54" i="5" s="1"/>
  <c r="E54" i="5"/>
  <c r="G54" i="2"/>
  <c r="H54" i="2" s="1"/>
  <c r="J54" i="2" s="1"/>
  <c r="L54" i="2" s="1"/>
  <c r="M54" i="2" s="1"/>
  <c r="E54" i="2"/>
  <c r="N53" i="2"/>
  <c r="G54" i="4"/>
  <c r="H54" i="4" s="1"/>
  <c r="J54" i="4" s="1"/>
  <c r="E54" i="4"/>
  <c r="N53" i="4"/>
  <c r="P59" i="5"/>
  <c r="Q59" i="5"/>
  <c r="R59" i="5" s="1"/>
  <c r="S59" i="5" s="1"/>
  <c r="G54" i="3"/>
  <c r="H54" i="3" s="1"/>
  <c r="J54" i="3" s="1"/>
  <c r="E54" i="3"/>
  <c r="N53" i="3"/>
  <c r="M52" i="2"/>
  <c r="M52" i="3"/>
  <c r="M52" i="4"/>
  <c r="E55" i="2" l="1"/>
  <c r="N54" i="2"/>
  <c r="G55" i="2"/>
  <c r="H55" i="2" s="1"/>
  <c r="J55" i="2" s="1"/>
  <c r="N54" i="5"/>
  <c r="E55" i="5"/>
  <c r="G55" i="5"/>
  <c r="H55" i="5" s="1"/>
  <c r="J55" i="5" s="1"/>
  <c r="L55" i="5" s="1"/>
  <c r="M55" i="5" s="1"/>
  <c r="L54" i="3"/>
  <c r="L54" i="5"/>
  <c r="G55" i="3"/>
  <c r="H55" i="3" s="1"/>
  <c r="J55" i="3" s="1"/>
  <c r="L55" i="3" s="1"/>
  <c r="M55" i="3" s="1"/>
  <c r="N54" i="3"/>
  <c r="E55" i="3"/>
  <c r="N54" i="4"/>
  <c r="G55" i="4"/>
  <c r="H55" i="4" s="1"/>
  <c r="J55" i="4" s="1"/>
  <c r="L55" i="4" s="1"/>
  <c r="M55" i="4" s="1"/>
  <c r="E55" i="4"/>
  <c r="P60" i="5"/>
  <c r="Q60" i="5"/>
  <c r="R60" i="5" s="1"/>
  <c r="S60" i="5" s="1"/>
  <c r="L54" i="4"/>
  <c r="N55" i="5" l="1"/>
  <c r="G56" i="5"/>
  <c r="H56" i="5" s="1"/>
  <c r="J56" i="5" s="1"/>
  <c r="E56" i="5"/>
  <c r="M54" i="5"/>
  <c r="M54" i="4"/>
  <c r="N55" i="3"/>
  <c r="G56" i="3"/>
  <c r="H56" i="3" s="1"/>
  <c r="J56" i="3" s="1"/>
  <c r="E56" i="3"/>
  <c r="M54" i="3"/>
  <c r="P61" i="5"/>
  <c r="Q61" i="5"/>
  <c r="R61" i="5" s="1"/>
  <c r="S61" i="5" s="1"/>
  <c r="L55" i="2"/>
  <c r="E56" i="4"/>
  <c r="G56" i="4"/>
  <c r="H56" i="4" s="1"/>
  <c r="J56" i="4" s="1"/>
  <c r="L56" i="4" s="1"/>
  <c r="M56" i="4" s="1"/>
  <c r="N55" i="4"/>
  <c r="E56" i="2"/>
  <c r="N55" i="2"/>
  <c r="G56" i="2"/>
  <c r="H56" i="2" s="1"/>
  <c r="J56" i="2" s="1"/>
  <c r="L56" i="2" s="1"/>
  <c r="M56" i="2" s="1"/>
  <c r="G57" i="2" l="1"/>
  <c r="H57" i="2" s="1"/>
  <c r="J57" i="2" s="1"/>
  <c r="L57" i="2" s="1"/>
  <c r="M57" i="2" s="1"/>
  <c r="E57" i="2"/>
  <c r="N56" i="2"/>
  <c r="N56" i="5"/>
  <c r="G57" i="5"/>
  <c r="H57" i="5" s="1"/>
  <c r="J57" i="5" s="1"/>
  <c r="L57" i="5" s="1"/>
  <c r="M57" i="5" s="1"/>
  <c r="E57" i="5"/>
  <c r="L56" i="5"/>
  <c r="M55" i="2"/>
  <c r="P62" i="5"/>
  <c r="Q62" i="5"/>
  <c r="R62" i="5" s="1"/>
  <c r="S62" i="5" s="1"/>
  <c r="L56" i="3"/>
  <c r="G57" i="4"/>
  <c r="H57" i="4" s="1"/>
  <c r="J57" i="4" s="1"/>
  <c r="L57" i="4" s="1"/>
  <c r="E57" i="4"/>
  <c r="N56" i="4"/>
  <c r="G57" i="3"/>
  <c r="H57" i="3" s="1"/>
  <c r="J57" i="3" s="1"/>
  <c r="L57" i="3" s="1"/>
  <c r="M57" i="3" s="1"/>
  <c r="E57" i="3"/>
  <c r="N56" i="3"/>
  <c r="M56" i="3" l="1"/>
  <c r="P63" i="5"/>
  <c r="Q63" i="5"/>
  <c r="R63" i="5" s="1"/>
  <c r="S63" i="5" s="1"/>
  <c r="E58" i="2"/>
  <c r="N57" i="2"/>
  <c r="G58" i="2"/>
  <c r="H58" i="2" s="1"/>
  <c r="J58" i="2" s="1"/>
  <c r="M56" i="5"/>
  <c r="N57" i="5"/>
  <c r="E58" i="5"/>
  <c r="G58" i="5"/>
  <c r="H58" i="5" s="1"/>
  <c r="J58" i="5" s="1"/>
  <c r="N57" i="3"/>
  <c r="E58" i="3"/>
  <c r="G58" i="3"/>
  <c r="H58" i="3" s="1"/>
  <c r="J58" i="3" s="1"/>
  <c r="N57" i="4"/>
  <c r="G58" i="4"/>
  <c r="H58" i="4" s="1"/>
  <c r="J58" i="4" s="1"/>
  <c r="E58" i="4"/>
  <c r="M57" i="4"/>
  <c r="L58" i="3" l="1"/>
  <c r="E59" i="2"/>
  <c r="G59" i="2"/>
  <c r="H59" i="2" s="1"/>
  <c r="J59" i="2" s="1"/>
  <c r="L59" i="2" s="1"/>
  <c r="M59" i="2" s="1"/>
  <c r="N58" i="2"/>
  <c r="L58" i="5"/>
  <c r="G59" i="3"/>
  <c r="H59" i="3" s="1"/>
  <c r="J59" i="3" s="1"/>
  <c r="L59" i="3" s="1"/>
  <c r="M59" i="3" s="1"/>
  <c r="E59" i="3"/>
  <c r="N58" i="3"/>
  <c r="E59" i="4"/>
  <c r="N58" i="4"/>
  <c r="G59" i="4"/>
  <c r="H59" i="4" s="1"/>
  <c r="J59" i="4" s="1"/>
  <c r="L59" i="4" s="1"/>
  <c r="M59" i="4" s="1"/>
  <c r="L58" i="2"/>
  <c r="N58" i="5"/>
  <c r="G59" i="5"/>
  <c r="H59" i="5" s="1"/>
  <c r="J59" i="5" s="1"/>
  <c r="L59" i="5" s="1"/>
  <c r="M59" i="5" s="1"/>
  <c r="E59" i="5"/>
  <c r="L58" i="4"/>
  <c r="M58" i="2" l="1"/>
  <c r="M58" i="4"/>
  <c r="N59" i="5"/>
  <c r="G60" i="5"/>
  <c r="H60" i="5" s="1"/>
  <c r="J60" i="5" s="1"/>
  <c r="E60" i="5"/>
  <c r="G60" i="2"/>
  <c r="H60" i="2" s="1"/>
  <c r="J60" i="2" s="1"/>
  <c r="L60" i="2" s="1"/>
  <c r="M60" i="2" s="1"/>
  <c r="E60" i="2"/>
  <c r="N59" i="2"/>
  <c r="G60" i="3"/>
  <c r="H60" i="3" s="1"/>
  <c r="J60" i="3" s="1"/>
  <c r="L60" i="3" s="1"/>
  <c r="M60" i="3" s="1"/>
  <c r="E60" i="3"/>
  <c r="N59" i="3"/>
  <c r="M58" i="5"/>
  <c r="M58" i="3"/>
  <c r="N59" i="4"/>
  <c r="G60" i="4"/>
  <c r="H60" i="4" s="1"/>
  <c r="J60" i="4" s="1"/>
  <c r="L60" i="4" s="1"/>
  <c r="M60" i="4" s="1"/>
  <c r="E60" i="4"/>
  <c r="L60" i="5" l="1"/>
  <c r="G61" i="2"/>
  <c r="H61" i="2" s="1"/>
  <c r="J61" i="2" s="1"/>
  <c r="L61" i="2" s="1"/>
  <c r="N60" i="2"/>
  <c r="E61" i="2"/>
  <c r="N60" i="5"/>
  <c r="G61" i="5"/>
  <c r="H61" i="5" s="1"/>
  <c r="J61" i="5" s="1"/>
  <c r="L61" i="5" s="1"/>
  <c r="M61" i="5" s="1"/>
  <c r="E61" i="5"/>
  <c r="N60" i="4"/>
  <c r="G61" i="4"/>
  <c r="H61" i="4" s="1"/>
  <c r="J61" i="4" s="1"/>
  <c r="L61" i="4" s="1"/>
  <c r="M61" i="4" s="1"/>
  <c r="E61" i="4"/>
  <c r="G61" i="3"/>
  <c r="H61" i="3" s="1"/>
  <c r="J61" i="3" s="1"/>
  <c r="L61" i="3" s="1"/>
  <c r="E61" i="3"/>
  <c r="N60" i="3"/>
  <c r="G62" i="3" l="1"/>
  <c r="H62" i="3" s="1"/>
  <c r="J62" i="3" s="1"/>
  <c r="L62" i="3" s="1"/>
  <c r="M62" i="3" s="1"/>
  <c r="N61" i="3"/>
  <c r="E62" i="3"/>
  <c r="N61" i="4"/>
  <c r="E62" i="4"/>
  <c r="G62" i="4"/>
  <c r="H62" i="4" s="1"/>
  <c r="J62" i="4" s="1"/>
  <c r="L62" i="4" s="1"/>
  <c r="M62" i="4" s="1"/>
  <c r="N61" i="5"/>
  <c r="G62" i="5"/>
  <c r="H62" i="5" s="1"/>
  <c r="J62" i="5" s="1"/>
  <c r="L62" i="5" s="1"/>
  <c r="M62" i="5" s="1"/>
  <c r="E62" i="5"/>
  <c r="N61" i="2"/>
  <c r="E62" i="2"/>
  <c r="G62" i="2"/>
  <c r="H62" i="2" s="1"/>
  <c r="J62" i="2" s="1"/>
  <c r="L62" i="2" s="1"/>
  <c r="M62" i="2" s="1"/>
  <c r="M61" i="2"/>
  <c r="M61" i="3"/>
  <c r="M60" i="5"/>
  <c r="G63" i="4" l="1"/>
  <c r="H63" i="4" s="1"/>
  <c r="E63" i="4"/>
  <c r="N62" i="4"/>
  <c r="E63" i="3"/>
  <c r="G63" i="3"/>
  <c r="H63" i="3" s="1"/>
  <c r="N62" i="3"/>
  <c r="G63" i="2"/>
  <c r="H63" i="2" s="1"/>
  <c r="E63" i="2"/>
  <c r="N62" i="2"/>
  <c r="N62" i="5"/>
  <c r="G63" i="5"/>
  <c r="H63" i="5" s="1"/>
  <c r="E63" i="5"/>
  <c r="F35" i="6" l="1"/>
  <c r="N63" i="2"/>
  <c r="F41" i="6" s="1"/>
  <c r="N63" i="5"/>
  <c r="F44" i="6" s="1"/>
  <c r="F38" i="6"/>
  <c r="F29" i="6"/>
  <c r="J63" i="2"/>
  <c r="J63" i="5"/>
  <c r="F32" i="6"/>
  <c r="F37" i="6"/>
  <c r="N63" i="4"/>
  <c r="F43" i="6" s="1"/>
  <c r="F30" i="6"/>
  <c r="J63" i="3"/>
  <c r="F36" i="6"/>
  <c r="N63" i="3"/>
  <c r="F42" i="6" s="1"/>
  <c r="F31" i="6"/>
  <c r="J63" i="4"/>
  <c r="L63" i="4" l="1"/>
  <c r="B19" i="6"/>
  <c r="C19" i="6"/>
  <c r="D19" i="6"/>
  <c r="E19" i="6"/>
  <c r="F19" i="6"/>
  <c r="L63" i="3"/>
  <c r="B18" i="6"/>
  <c r="C18" i="6"/>
  <c r="D18" i="6"/>
  <c r="E18" i="6"/>
  <c r="F18" i="6"/>
  <c r="L63" i="5"/>
  <c r="B20" i="6"/>
  <c r="C20" i="6"/>
  <c r="D20" i="6"/>
  <c r="E20" i="6"/>
  <c r="F20" i="6"/>
  <c r="L63" i="2"/>
  <c r="B17" i="6"/>
  <c r="C17" i="6"/>
  <c r="D17" i="6"/>
  <c r="E17" i="6"/>
  <c r="F17" i="6"/>
  <c r="M63" i="5" l="1"/>
  <c r="C14" i="6"/>
  <c r="D14" i="6"/>
  <c r="E14" i="6"/>
  <c r="F14" i="6"/>
  <c r="M63" i="2"/>
  <c r="C11" i="6"/>
  <c r="D11" i="6"/>
  <c r="E11" i="6"/>
  <c r="F11" i="6"/>
  <c r="M63" i="3"/>
  <c r="B12" i="6"/>
  <c r="C12" i="6"/>
  <c r="D12" i="6"/>
  <c r="E12" i="6"/>
  <c r="F12" i="6"/>
  <c r="M63" i="4"/>
  <c r="B13" i="6"/>
  <c r="C13" i="6"/>
  <c r="D13" i="6"/>
  <c r="E13" i="6"/>
  <c r="F13" i="6"/>
  <c r="F23" i="6" l="1"/>
  <c r="B5" i="6"/>
  <c r="B67" i="6" s="1"/>
  <c r="C5" i="6"/>
  <c r="D5" i="6"/>
  <c r="E5" i="6"/>
  <c r="F5" i="6"/>
  <c r="F24" i="6"/>
  <c r="B6" i="6"/>
  <c r="C6" i="6"/>
  <c r="D6" i="6"/>
  <c r="E6" i="6"/>
  <c r="F6" i="6"/>
  <c r="F25" i="6"/>
  <c r="B7" i="6"/>
  <c r="C7" i="6"/>
  <c r="D7" i="6"/>
  <c r="E7" i="6"/>
  <c r="F7" i="6"/>
  <c r="F26" i="6"/>
  <c r="B8" i="6"/>
  <c r="C8" i="6"/>
  <c r="D8" i="6"/>
  <c r="E8" i="6"/>
  <c r="F8" i="6"/>
  <c r="B69" i="6" l="1"/>
  <c r="B68" i="6"/>
</calcChain>
</file>

<file path=xl/sharedStrings.xml><?xml version="1.0" encoding="utf-8"?>
<sst xmlns="http://schemas.openxmlformats.org/spreadsheetml/2006/main" count="251" uniqueCount="123">
  <si>
    <t>다이소몰 매출 시뮬레이션 — 통제변수</t>
  </si>
  <si>
    <r>
      <rPr>
        <sz val="9"/>
        <color rgb="FF808080"/>
        <rFont val="Noto Sans CJK SC"/>
        <family val="2"/>
      </rPr>
      <t>파란 글씨 셀만 수정하십시오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나머지는 수식입니다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 xml:space="preserve">값을 바꾸면 </t>
    </r>
    <r>
      <rPr>
        <sz val="9"/>
        <color rgb="FF808080"/>
        <rFont val="Arial"/>
        <family val="2"/>
      </rPr>
      <t>4</t>
    </r>
    <r>
      <rPr>
        <sz val="9"/>
        <color rgb="FF808080"/>
        <rFont val="Noto Sans CJK SC"/>
        <family val="2"/>
      </rPr>
      <t>개 시나리오 시트와 요약이 모두 따라 움직입니다</t>
    </r>
    <r>
      <rPr>
        <sz val="9"/>
        <color rgb="FF808080"/>
        <rFont val="Arial"/>
        <family val="2"/>
      </rPr>
      <t>.</t>
    </r>
  </si>
  <si>
    <t>공통 가정</t>
  </si>
  <si>
    <t>시작 연월</t>
  </si>
  <si>
    <t>2027-01</t>
  </si>
  <si>
    <t>시뮬레이션 시작 시점</t>
  </si>
  <si>
    <t>시뮬 개월수</t>
  </si>
  <si>
    <t>2027-01 ~ 2031-12</t>
  </si>
  <si>
    <r>
      <rPr>
        <sz val="10"/>
        <rFont val="Arial"/>
        <family val="2"/>
      </rPr>
      <t xml:space="preserve">2026.12 </t>
    </r>
    <r>
      <rPr>
        <sz val="10"/>
        <rFont val="Noto Sans CJK SC"/>
        <family val="2"/>
      </rPr>
      <t xml:space="preserve">누적 구매고객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만명</t>
    </r>
    <r>
      <rPr>
        <sz val="10"/>
        <rFont val="Arial"/>
        <family val="2"/>
      </rPr>
      <t>)</t>
    </r>
  </si>
  <si>
    <r>
      <rPr>
        <sz val="9"/>
        <color rgb="FF808080"/>
        <rFont val="Arial"/>
        <family val="2"/>
      </rPr>
      <t xml:space="preserve">2026-08 </t>
    </r>
    <r>
      <rPr>
        <sz val="9"/>
        <color rgb="FF808080"/>
        <rFont val="Noto Sans CJK SC"/>
        <family val="2"/>
      </rPr>
      <t xml:space="preserve">실측 </t>
    </r>
    <r>
      <rPr>
        <sz val="9"/>
        <color rgb="FF808080"/>
        <rFont val="Arial"/>
        <family val="2"/>
      </rPr>
      <t>358.5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>+ 9~12</t>
    </r>
    <r>
      <rPr>
        <sz val="9"/>
        <color rgb="FF808080"/>
        <rFont val="Noto Sans CJK SC"/>
        <family val="2"/>
      </rPr>
      <t>월 신규 추정</t>
    </r>
  </si>
  <si>
    <t>택배 외 채널 비중</t>
  </si>
  <si>
    <r>
      <rPr>
        <sz val="9"/>
        <color rgb="FF808080"/>
        <rFont val="Noto Sans CJK SC"/>
        <family val="2"/>
      </rPr>
      <t>픽업</t>
    </r>
    <r>
      <rPr>
        <sz val="9"/>
        <color rgb="FF808080"/>
        <rFont val="Arial"/>
        <family val="2"/>
      </rPr>
      <t>·</t>
    </r>
    <r>
      <rPr>
        <sz val="9"/>
        <color rgb="FF808080"/>
        <rFont val="Noto Sans CJK SC"/>
        <family val="2"/>
      </rPr>
      <t>대량</t>
    </r>
    <r>
      <rPr>
        <sz val="9"/>
        <color rgb="FF808080"/>
        <rFont val="Arial"/>
        <family val="2"/>
      </rPr>
      <t>·</t>
    </r>
    <r>
      <rPr>
        <sz val="9"/>
        <color rgb="FF808080"/>
        <rFont val="Noto Sans CJK SC"/>
        <family val="2"/>
      </rPr>
      <t xml:space="preserve">오늘배송 합계 </t>
    </r>
    <r>
      <rPr>
        <sz val="9"/>
        <color rgb="FF808080"/>
        <rFont val="Arial"/>
        <family val="2"/>
      </rPr>
      <t>(2026 1~8</t>
    </r>
    <r>
      <rPr>
        <sz val="9"/>
        <color rgb="FF808080"/>
        <rFont val="Noto Sans CJK SC"/>
        <family val="2"/>
      </rPr>
      <t>월 실측</t>
    </r>
    <r>
      <rPr>
        <sz val="9"/>
        <color rgb="FF808080"/>
        <rFont val="Arial"/>
        <family val="2"/>
      </rPr>
      <t>)</t>
    </r>
  </si>
  <si>
    <r>
      <rPr>
        <sz val="10"/>
        <rFont val="Noto Sans CJK SC"/>
        <family val="2"/>
      </rPr>
      <t xml:space="preserve">회원배수 — 시작 </t>
    </r>
    <r>
      <rPr>
        <sz val="10"/>
        <rFont val="Arial"/>
        <family val="2"/>
      </rPr>
      <t>(2027-01)</t>
    </r>
  </si>
  <si>
    <r>
      <rPr>
        <sz val="9"/>
        <color rgb="FF808080"/>
        <rFont val="Noto Sans CJK SC"/>
        <family val="2"/>
      </rPr>
      <t xml:space="preserve">회원 </t>
    </r>
    <r>
      <rPr>
        <sz val="9"/>
        <color rgb="FF808080"/>
        <rFont val="Arial"/>
        <family val="2"/>
      </rPr>
      <t>926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 xml:space="preserve">÷ </t>
    </r>
    <r>
      <rPr>
        <sz val="9"/>
        <color rgb="FF808080"/>
        <rFont val="Noto Sans CJK SC"/>
        <family val="2"/>
      </rPr>
      <t xml:space="preserve">누적 구매고객 </t>
    </r>
    <r>
      <rPr>
        <sz val="9"/>
        <color rgb="FF808080"/>
        <rFont val="Arial"/>
        <family val="2"/>
      </rPr>
      <t>358.5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 xml:space="preserve">(2026-08 </t>
    </r>
    <r>
      <rPr>
        <sz val="9"/>
        <color rgb="FF808080"/>
        <rFont val="Noto Sans CJK SC"/>
        <family val="2"/>
      </rPr>
      <t>실측</t>
    </r>
    <r>
      <rPr>
        <sz val="9"/>
        <color rgb="FF808080"/>
        <rFont val="Arial"/>
        <family val="2"/>
      </rPr>
      <t>)</t>
    </r>
  </si>
  <si>
    <r>
      <rPr>
        <sz val="10"/>
        <rFont val="Noto Sans CJK SC"/>
        <family val="2"/>
      </rPr>
      <t xml:space="preserve">회원배수 — 종료 </t>
    </r>
    <r>
      <rPr>
        <sz val="10"/>
        <rFont val="Arial"/>
        <family val="2"/>
      </rPr>
      <t>(2031-12)</t>
    </r>
  </si>
  <si>
    <t>구매 전환 비중이 높아지며 배수가 낮아진다는 가정</t>
  </si>
  <si>
    <t>매출 보정계수</t>
  </si>
  <si>
    <r>
      <rPr>
        <sz val="9"/>
        <color rgb="FF808080"/>
        <rFont val="Noto Sans CJK SC"/>
        <family val="2"/>
      </rPr>
      <t xml:space="preserve">모델 산출을 사업계획에 맞출 때 사용 </t>
    </r>
    <r>
      <rPr>
        <sz val="9"/>
        <color rgb="FF808080"/>
        <rFont val="Arial"/>
        <family val="2"/>
      </rPr>
      <t xml:space="preserve">(1.00 = </t>
    </r>
    <r>
      <rPr>
        <sz val="9"/>
        <color rgb="FF808080"/>
        <rFont val="Noto Sans CJK SC"/>
        <family val="2"/>
      </rPr>
      <t>보정 없음</t>
    </r>
    <r>
      <rPr>
        <sz val="9"/>
        <color rgb="FF808080"/>
        <rFont val="Arial"/>
        <family val="2"/>
      </rPr>
      <t>)</t>
    </r>
  </si>
  <si>
    <t>시나리오별 가정</t>
  </si>
  <si>
    <t>구분</t>
  </si>
  <si>
    <t>1</t>
  </si>
  <si>
    <t>2</t>
  </si>
  <si>
    <t>3</t>
  </si>
  <si>
    <t>4</t>
  </si>
  <si>
    <t>설명</t>
  </si>
  <si>
    <r>
      <rPr>
        <sz val="10"/>
        <rFont val="Noto Sans CJK SC"/>
        <family val="2"/>
      </rPr>
      <t xml:space="preserve">신규 구매고객 시작값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만명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>)</t>
    </r>
  </si>
  <si>
    <r>
      <rPr>
        <sz val="9"/>
        <color rgb="FF808080"/>
        <rFont val="Arial"/>
        <family val="2"/>
      </rPr>
      <t xml:space="preserve">2027-01 </t>
    </r>
    <r>
      <rPr>
        <sz val="9"/>
        <color rgb="FF808080"/>
        <rFont val="Noto Sans CJK SC"/>
        <family val="2"/>
      </rPr>
      <t>월 신규 택배 구매고객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 xml:space="preserve">실측 </t>
    </r>
    <r>
      <rPr>
        <sz val="9"/>
        <color rgb="FF808080"/>
        <rFont val="Arial"/>
        <family val="2"/>
      </rPr>
      <t>9~13.4</t>
    </r>
    <r>
      <rPr>
        <sz val="9"/>
        <color rgb="FF808080"/>
        <rFont val="Noto Sans CJK SC"/>
        <family val="2"/>
      </rPr>
      <t>만 범위</t>
    </r>
  </si>
  <si>
    <t>신규 구매고객 월 증감률</t>
  </si>
  <si>
    <r>
      <rPr>
        <sz val="9"/>
        <color rgb="FF808080"/>
        <rFont val="Noto Sans CJK SC"/>
        <family val="2"/>
      </rPr>
      <t xml:space="preserve">음수 </t>
    </r>
    <r>
      <rPr>
        <sz val="9"/>
        <color rgb="FF808080"/>
        <rFont val="Arial"/>
        <family val="2"/>
      </rPr>
      <t xml:space="preserve">= </t>
    </r>
    <r>
      <rPr>
        <sz val="9"/>
        <color rgb="FF808080"/>
        <rFont val="Noto Sans CJK SC"/>
        <family val="2"/>
      </rPr>
      <t>감쇠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신규 서비스가 많을수록 감쇠가 작다는 가정</t>
    </r>
  </si>
  <si>
    <t>잔존율 — 시작</t>
  </si>
  <si>
    <r>
      <rPr>
        <sz val="9"/>
        <color rgb="FF808080"/>
        <rFont val="Noto Sans CJK SC"/>
        <family val="2"/>
      </rPr>
      <t>누적 구매고객 중 당월 재구매 비율</t>
    </r>
    <r>
      <rPr>
        <sz val="9"/>
        <color rgb="FF808080"/>
        <rFont val="Arial"/>
        <family val="2"/>
      </rPr>
      <t xml:space="preserve">. M4~M12 </t>
    </r>
    <r>
      <rPr>
        <sz val="9"/>
        <color rgb="FF808080"/>
        <rFont val="Noto Sans CJK SC"/>
        <family val="2"/>
      </rPr>
      <t>실측</t>
    </r>
  </si>
  <si>
    <t>잔존율 — 목표</t>
  </si>
  <si>
    <r>
      <rPr>
        <sz val="9"/>
        <color rgb="FF808080"/>
        <rFont val="Noto Sans CJK SC"/>
        <family val="2"/>
      </rPr>
      <t>②는 가입 첫달 수준</t>
    </r>
    <r>
      <rPr>
        <sz val="9"/>
        <color rgb="FF808080"/>
        <rFont val="Arial"/>
        <family val="2"/>
      </rPr>
      <t>(15%), ③</t>
    </r>
    <r>
      <rPr>
        <sz val="9"/>
        <color rgb="FF808080"/>
        <rFont val="Noto Sans CJK SC"/>
        <family val="2"/>
      </rPr>
      <t>은 중간 수준</t>
    </r>
    <r>
      <rPr>
        <sz val="9"/>
        <color rgb="FF808080"/>
        <rFont val="Arial"/>
        <family val="2"/>
      </rPr>
      <t>(13%)</t>
    </r>
  </si>
  <si>
    <t>잔존율 — 성장 시작 월차</t>
  </si>
  <si>
    <r>
      <rPr>
        <sz val="9"/>
        <color rgb="FF808080"/>
        <rFont val="Arial"/>
        <family val="2"/>
      </rPr>
      <t>6 = 2027</t>
    </r>
    <r>
      <rPr>
        <sz val="9"/>
        <color rgb="FF808080"/>
        <rFont val="Noto Sans CJK SC"/>
        <family val="2"/>
      </rPr>
      <t xml:space="preserve">년 </t>
    </r>
    <r>
      <rPr>
        <sz val="9"/>
        <color rgb="FF808080"/>
        <rFont val="Arial"/>
        <family val="2"/>
      </rPr>
      <t>6</t>
    </r>
    <r>
      <rPr>
        <sz val="9"/>
        <color rgb="FF808080"/>
        <rFont val="Noto Sans CJK SC"/>
        <family val="2"/>
      </rPr>
      <t xml:space="preserve">월 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>세종 안정화 시점</t>
    </r>
    <r>
      <rPr>
        <sz val="9"/>
        <color rgb="FF808080"/>
        <rFont val="Arial"/>
        <family val="2"/>
      </rPr>
      <t>)</t>
    </r>
  </si>
  <si>
    <t>잔존율 — 목표 도달 개월수</t>
  </si>
  <si>
    <r>
      <rPr>
        <sz val="9"/>
        <color rgb="FF808080"/>
        <rFont val="Noto Sans CJK SC"/>
        <family val="2"/>
      </rPr>
      <t>작을수록 빨리 올라간다</t>
    </r>
    <r>
      <rPr>
        <sz val="9"/>
        <color rgb="FF808080"/>
        <rFont val="Arial"/>
        <family val="2"/>
      </rPr>
      <t>. 42 = 2030</t>
    </r>
    <r>
      <rPr>
        <sz val="9"/>
        <color rgb="FF808080"/>
        <rFont val="Noto Sans CJK SC"/>
        <family val="2"/>
      </rPr>
      <t xml:space="preserve">년 </t>
    </r>
    <r>
      <rPr>
        <sz val="9"/>
        <color rgb="FF808080"/>
        <rFont val="Arial"/>
        <family val="2"/>
      </rPr>
      <t>11</t>
    </r>
    <r>
      <rPr>
        <sz val="9"/>
        <color rgb="FF808080"/>
        <rFont val="Noto Sans CJK SC"/>
        <family val="2"/>
      </rPr>
      <t>월 도달</t>
    </r>
  </si>
  <si>
    <r>
      <rPr>
        <sz val="10"/>
        <rFont val="Noto Sans CJK SC"/>
        <family val="2"/>
      </rPr>
      <t xml:space="preserve">구매빈도 — 시작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>)</t>
    </r>
  </si>
  <si>
    <r>
      <rPr>
        <sz val="9"/>
        <color rgb="FF808080"/>
        <rFont val="Noto Sans CJK SC"/>
        <family val="2"/>
      </rPr>
      <t>주문</t>
    </r>
    <r>
      <rPr>
        <sz val="9"/>
        <color rgb="FF808080"/>
        <rFont val="Arial"/>
        <family val="2"/>
      </rPr>
      <t>/</t>
    </r>
    <r>
      <rPr>
        <sz val="9"/>
        <color rgb="FF808080"/>
        <rFont val="Noto Sans CJK SC"/>
        <family val="2"/>
      </rPr>
      <t>구매고객</t>
    </r>
    <r>
      <rPr>
        <sz val="9"/>
        <color rgb="FF808080"/>
        <rFont val="Arial"/>
        <family val="2"/>
      </rPr>
      <t>. 33</t>
    </r>
    <r>
      <rPr>
        <sz val="9"/>
        <color rgb="FF808080"/>
        <rFont val="Noto Sans CJK SC"/>
        <family val="2"/>
      </rPr>
      <t>개월 고정 실측</t>
    </r>
  </si>
  <si>
    <r>
      <rPr>
        <sz val="10"/>
        <rFont val="Noto Sans CJK SC"/>
        <family val="2"/>
      </rPr>
      <t xml:space="preserve">구매빈도 — 목표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>)</t>
    </r>
  </si>
  <si>
    <t>②는 임계 인하로 소액 주문이 늘어난다는 가정</t>
  </si>
  <si>
    <t>구매빈도 — 성장 시작 월차</t>
  </si>
  <si>
    <t>구매빈도 — 목표 도달 개월수</t>
  </si>
  <si>
    <r>
      <rPr>
        <sz val="10"/>
        <rFont val="Noto Sans CJK SC"/>
        <family val="2"/>
      </rPr>
      <t xml:space="preserve">객단가 — 변경 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</t>
    </r>
    <r>
      <rPr>
        <sz val="10"/>
        <rFont val="Arial"/>
        <family val="2"/>
      </rPr>
      <t>)</t>
    </r>
  </si>
  <si>
    <r>
      <rPr>
        <sz val="9"/>
        <color rgb="FF808080"/>
        <rFont val="Noto Sans CJK SC"/>
        <family val="2"/>
      </rPr>
      <t xml:space="preserve">택배 객단가 </t>
    </r>
    <r>
      <rPr>
        <sz val="9"/>
        <color rgb="FF808080"/>
        <rFont val="Arial"/>
        <family val="2"/>
      </rPr>
      <t>2026 1~8</t>
    </r>
    <r>
      <rPr>
        <sz val="9"/>
        <color rgb="FF808080"/>
        <rFont val="Noto Sans CJK SC"/>
        <family val="2"/>
      </rPr>
      <t>월 실측</t>
    </r>
  </si>
  <si>
    <r>
      <rPr>
        <sz val="10"/>
        <rFont val="Noto Sans CJK SC"/>
        <family val="2"/>
      </rPr>
      <t xml:space="preserve">객단가 — 변경 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</t>
    </r>
    <r>
      <rPr>
        <sz val="10"/>
        <rFont val="Arial"/>
        <family val="2"/>
      </rPr>
      <t>)</t>
    </r>
  </si>
  <si>
    <r>
      <rPr>
        <sz val="9"/>
        <color rgb="FF808080"/>
        <rFont val="Noto Sans CJK SC"/>
        <family val="2"/>
      </rPr>
      <t xml:space="preserve">②만 무료배송 임계 </t>
    </r>
    <r>
      <rPr>
        <sz val="9"/>
        <color rgb="FF808080"/>
        <rFont val="Arial"/>
        <family val="2"/>
      </rPr>
      <t>2.5</t>
    </r>
    <r>
      <rPr>
        <sz val="9"/>
        <color rgb="FF808080"/>
        <rFont val="Noto Sans CJK SC"/>
        <family val="2"/>
      </rPr>
      <t>만원 인하로 하락</t>
    </r>
  </si>
  <si>
    <t>객단가 — 변경 월차</t>
  </si>
  <si>
    <r>
      <rPr>
        <sz val="9"/>
        <color rgb="FF808080"/>
        <rFont val="Arial"/>
        <family val="2"/>
      </rPr>
      <t>12 = 2027</t>
    </r>
    <r>
      <rPr>
        <sz val="9"/>
        <color rgb="FF808080"/>
        <rFont val="Noto Sans CJK SC"/>
        <family val="2"/>
      </rPr>
      <t xml:space="preserve">년 </t>
    </r>
    <r>
      <rPr>
        <sz val="9"/>
        <color rgb="FF808080"/>
        <rFont val="Arial"/>
        <family val="2"/>
      </rPr>
      <t>12</t>
    </r>
    <r>
      <rPr>
        <sz val="9"/>
        <color rgb="FF808080"/>
        <rFont val="Noto Sans CJK SC"/>
        <family val="2"/>
      </rPr>
      <t>월부터 적용</t>
    </r>
    <r>
      <rPr>
        <sz val="9"/>
        <color rgb="FF808080"/>
        <rFont val="Arial"/>
        <family val="2"/>
      </rPr>
      <t xml:space="preserve">. 999 = </t>
    </r>
    <r>
      <rPr>
        <sz val="9"/>
        <color rgb="FF808080"/>
        <rFont val="Noto Sans CJK SC"/>
        <family val="2"/>
      </rPr>
      <t>변경 없음</t>
    </r>
  </si>
  <si>
    <r>
      <rPr>
        <b/>
        <sz val="10"/>
        <rFont val="Noto Sans CJK SC"/>
        <family val="2"/>
      </rPr>
      <t xml:space="preserve">외국인 회원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시나리오 ④ 전용</t>
    </r>
    <r>
      <rPr>
        <b/>
        <sz val="10"/>
        <rFont val="Arial"/>
        <family val="2"/>
      </rPr>
      <t xml:space="preserve">, </t>
    </r>
    <r>
      <rPr>
        <b/>
        <sz val="10"/>
        <rFont val="Noto Sans CJK SC"/>
        <family val="2"/>
      </rPr>
      <t>현상유지에 가산</t>
    </r>
    <r>
      <rPr>
        <b/>
        <sz val="10"/>
        <rFont val="Arial"/>
        <family val="2"/>
      </rPr>
      <t>)</t>
    </r>
  </si>
  <si>
    <t>유입 시작 월차</t>
  </si>
  <si>
    <r>
      <rPr>
        <sz val="9"/>
        <color rgb="FF808080"/>
        <rFont val="Arial"/>
        <family val="2"/>
      </rPr>
      <t>9 = 2027</t>
    </r>
    <r>
      <rPr>
        <sz val="9"/>
        <color rgb="FF808080"/>
        <rFont val="Noto Sans CJK SC"/>
        <family val="2"/>
      </rPr>
      <t xml:space="preserve">년 </t>
    </r>
    <r>
      <rPr>
        <sz val="9"/>
        <color rgb="FF808080"/>
        <rFont val="Arial"/>
        <family val="2"/>
      </rPr>
      <t>9</t>
    </r>
    <r>
      <rPr>
        <sz val="9"/>
        <color rgb="FF808080"/>
        <rFont val="Noto Sans CJK SC"/>
        <family val="2"/>
      </rPr>
      <t>월</t>
    </r>
  </si>
  <si>
    <r>
      <rPr>
        <sz val="10"/>
        <rFont val="Noto Sans CJK SC"/>
        <family val="2"/>
      </rPr>
      <t xml:space="preserve">월 신규 구매고객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명</t>
    </r>
    <r>
      <rPr>
        <sz val="10"/>
        <rFont val="Arial"/>
        <family val="2"/>
      </rPr>
      <t>)</t>
    </r>
  </si>
  <si>
    <t>매월 신규로 유입되는 외국인 구매고객</t>
  </si>
  <si>
    <t>잔존율</t>
  </si>
  <si>
    <r>
      <rPr>
        <sz val="9"/>
        <color rgb="FF808080"/>
        <rFont val="Noto Sans CJK SC"/>
        <family val="2"/>
      </rPr>
      <t xml:space="preserve">내국인 </t>
    </r>
    <r>
      <rPr>
        <sz val="9"/>
        <color rgb="FF808080"/>
        <rFont val="Arial"/>
        <family val="2"/>
      </rPr>
      <t xml:space="preserve">11.1% </t>
    </r>
    <r>
      <rPr>
        <sz val="9"/>
        <color rgb="FF808080"/>
        <rFont val="Noto Sans CJK SC"/>
        <family val="2"/>
      </rPr>
      <t>대비 크게 낮은 수준</t>
    </r>
  </si>
  <si>
    <r>
      <rPr>
        <sz val="10"/>
        <rFont val="Noto Sans CJK SC"/>
        <family val="2"/>
      </rPr>
      <t xml:space="preserve">객단가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원</t>
    </r>
    <r>
      <rPr>
        <sz val="10"/>
        <rFont val="Arial"/>
        <family val="2"/>
      </rPr>
      <t>)</t>
    </r>
  </si>
  <si>
    <t>해외배송 객단가 가정</t>
  </si>
  <si>
    <r>
      <rPr>
        <sz val="10"/>
        <rFont val="Noto Sans CJK SC"/>
        <family val="2"/>
      </rPr>
      <t xml:space="preserve">구매빈도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>)</t>
    </r>
  </si>
  <si>
    <t>사실상 단발 구매</t>
  </si>
  <si>
    <t>범례 및 모델 구조</t>
  </si>
  <si>
    <r>
      <rPr>
        <sz val="10"/>
        <rFont val="Noto Sans CJK SC"/>
        <family val="2"/>
      </rPr>
      <t xml:space="preserve">파란 글씨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노란 채움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입력 셀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 셀만 수정하십시오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</si>
  <si>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>수식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수정하지 마십시오</t>
    </r>
    <r>
      <rPr>
        <sz val="10"/>
        <rFont val="Arial"/>
        <family val="2"/>
      </rPr>
      <t>.</t>
    </r>
  </si>
  <si>
    <t>월별 계산 순서</t>
  </si>
  <si>
    <r>
      <rPr>
        <sz val="9"/>
        <color rgb="FF404040"/>
        <rFont val="Noto Sans CJK SC"/>
        <family val="2"/>
      </rPr>
      <t xml:space="preserve">  ① 신규 구매고객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시작값 </t>
    </r>
    <r>
      <rPr>
        <sz val="9"/>
        <color rgb="FF404040"/>
        <rFont val="Arial"/>
        <family val="2"/>
      </rPr>
      <t xml:space="preserve">× (1 + </t>
    </r>
    <r>
      <rPr>
        <sz val="9"/>
        <color rgb="FF404040"/>
        <rFont val="Noto Sans CJK SC"/>
        <family val="2"/>
      </rPr>
      <t>월증감률</t>
    </r>
    <r>
      <rPr>
        <sz val="9"/>
        <color rgb="FF404040"/>
        <rFont val="Arial"/>
        <family val="2"/>
      </rPr>
      <t>)^(</t>
    </r>
    <r>
      <rPr>
        <sz val="9"/>
        <color rgb="FF404040"/>
        <rFont val="Noto Sans CJK SC"/>
        <family val="2"/>
      </rPr>
      <t>월차</t>
    </r>
    <r>
      <rPr>
        <sz val="9"/>
        <color rgb="FF404040"/>
        <rFont val="Arial"/>
        <family val="2"/>
      </rPr>
      <t>-1)</t>
    </r>
  </si>
  <si>
    <r>
      <rPr>
        <sz val="9"/>
        <color rgb="FF404040"/>
        <rFont val="Noto Sans CJK SC"/>
        <family val="2"/>
      </rPr>
      <t xml:space="preserve">  ② 누적 구매고객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전월 누적 </t>
    </r>
    <r>
      <rPr>
        <sz val="9"/>
        <color rgb="FF404040"/>
        <rFont val="Arial"/>
        <family val="2"/>
      </rPr>
      <t xml:space="preserve">+ </t>
    </r>
    <r>
      <rPr>
        <sz val="9"/>
        <color rgb="FF404040"/>
        <rFont val="Noto Sans CJK SC"/>
        <family val="2"/>
      </rPr>
      <t>당월 신규</t>
    </r>
  </si>
  <si>
    <r>
      <rPr>
        <sz val="9"/>
        <color rgb="FF404040"/>
        <rFont val="Noto Sans CJK SC"/>
        <family val="2"/>
      </rPr>
      <t xml:space="preserve">  ③ 활동 구매고객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당월 신규 </t>
    </r>
    <r>
      <rPr>
        <sz val="9"/>
        <color rgb="FF404040"/>
        <rFont val="Arial"/>
        <family val="2"/>
      </rPr>
      <t xml:space="preserve">+ </t>
    </r>
    <r>
      <rPr>
        <sz val="9"/>
        <color rgb="FF404040"/>
        <rFont val="Noto Sans CJK SC"/>
        <family val="2"/>
      </rPr>
      <t xml:space="preserve">전월 누적 </t>
    </r>
    <r>
      <rPr>
        <sz val="9"/>
        <color rgb="FF404040"/>
        <rFont val="Arial"/>
        <family val="2"/>
      </rPr>
      <t xml:space="preserve">× </t>
    </r>
    <r>
      <rPr>
        <sz val="9"/>
        <color rgb="FF404040"/>
        <rFont val="Noto Sans CJK SC"/>
        <family val="2"/>
      </rPr>
      <t>잔존율</t>
    </r>
  </si>
  <si>
    <r>
      <rPr>
        <sz val="9"/>
        <color rgb="FF404040"/>
        <rFont val="Noto Sans CJK SC"/>
        <family val="2"/>
      </rPr>
      <t xml:space="preserve">  ④ 구매건수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활동 구매고객 </t>
    </r>
    <r>
      <rPr>
        <sz val="9"/>
        <color rgb="FF404040"/>
        <rFont val="Arial"/>
        <family val="2"/>
      </rPr>
      <t xml:space="preserve">× </t>
    </r>
    <r>
      <rPr>
        <sz val="9"/>
        <color rgb="FF404040"/>
        <rFont val="Noto Sans CJK SC"/>
        <family val="2"/>
      </rPr>
      <t>구매빈도</t>
    </r>
  </si>
  <si>
    <r>
      <rPr>
        <sz val="9"/>
        <color rgb="FF404040"/>
        <rFont val="Noto Sans CJK SC"/>
        <family val="2"/>
      </rPr>
      <t xml:space="preserve">  ⑤ 택배매출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구매건수 </t>
    </r>
    <r>
      <rPr>
        <sz val="9"/>
        <color rgb="FF404040"/>
        <rFont val="Arial"/>
        <family val="2"/>
      </rPr>
      <t xml:space="preserve">× </t>
    </r>
    <r>
      <rPr>
        <sz val="9"/>
        <color rgb="FF404040"/>
        <rFont val="Noto Sans CJK SC"/>
        <family val="2"/>
      </rPr>
      <t>객단가</t>
    </r>
  </si>
  <si>
    <r>
      <rPr>
        <sz val="9"/>
        <color rgb="FF404040"/>
        <rFont val="Noto Sans CJK SC"/>
        <family val="2"/>
      </rPr>
      <t xml:space="preserve">  ⑥ 총매출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택배매출 </t>
    </r>
    <r>
      <rPr>
        <sz val="9"/>
        <color rgb="FF404040"/>
        <rFont val="Arial"/>
        <family val="2"/>
      </rPr>
      <t xml:space="preserve">÷ (1 − </t>
    </r>
    <r>
      <rPr>
        <sz val="9"/>
        <color rgb="FF404040"/>
        <rFont val="Noto Sans CJK SC"/>
        <family val="2"/>
      </rPr>
      <t>택배 외 비중</t>
    </r>
    <r>
      <rPr>
        <sz val="9"/>
        <color rgb="FF404040"/>
        <rFont val="Arial"/>
        <family val="2"/>
      </rPr>
      <t xml:space="preserve">) × </t>
    </r>
    <r>
      <rPr>
        <sz val="9"/>
        <color rgb="FF404040"/>
        <rFont val="Noto Sans CJK SC"/>
        <family val="2"/>
      </rPr>
      <t>보정계수</t>
    </r>
  </si>
  <si>
    <r>
      <rPr>
        <sz val="9"/>
        <color rgb="FF404040"/>
        <rFont val="Noto Sans CJK SC"/>
        <family val="2"/>
      </rPr>
      <t xml:space="preserve">  ⑦ 회원수 </t>
    </r>
    <r>
      <rPr>
        <sz val="9"/>
        <color rgb="FF404040"/>
        <rFont val="Arial"/>
        <family val="2"/>
      </rPr>
      <t xml:space="preserve">= </t>
    </r>
    <r>
      <rPr>
        <sz val="9"/>
        <color rgb="FF404040"/>
        <rFont val="Noto Sans CJK SC"/>
        <family val="2"/>
      </rPr>
      <t xml:space="preserve">누적 구매고객 </t>
    </r>
    <r>
      <rPr>
        <sz val="9"/>
        <color rgb="FF404040"/>
        <rFont val="Arial"/>
        <family val="2"/>
      </rPr>
      <t xml:space="preserve">× </t>
    </r>
    <r>
      <rPr>
        <sz val="9"/>
        <color rgb="FF404040"/>
        <rFont val="Noto Sans CJK SC"/>
        <family val="2"/>
      </rPr>
      <t>회원배수</t>
    </r>
    <r>
      <rPr>
        <sz val="9"/>
        <color rgb="FF404040"/>
        <rFont val="Arial"/>
        <family val="2"/>
      </rPr>
      <t>(</t>
    </r>
    <r>
      <rPr>
        <sz val="9"/>
        <color rgb="FF404040"/>
        <rFont val="Noto Sans CJK SC"/>
        <family val="2"/>
      </rPr>
      <t>월별 선형 보간</t>
    </r>
    <r>
      <rPr>
        <sz val="9"/>
        <color rgb="FF404040"/>
        <rFont val="Arial"/>
        <family val="2"/>
      </rPr>
      <t>)</t>
    </r>
  </si>
  <si>
    <r>
      <rPr>
        <sz val="10"/>
        <rFont val="Noto Sans CJK SC"/>
        <family val="2"/>
      </rPr>
      <t>잔존율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구매빈도는 성장 시작 월차부터 목표까지 선형으로 이동한 뒤 목표치를 유지합니다</t>
    </r>
    <r>
      <rPr>
        <sz val="10"/>
        <rFont val="Arial"/>
        <family val="2"/>
      </rPr>
      <t>.</t>
    </r>
  </si>
  <si>
    <r>
      <rPr>
        <sz val="9"/>
        <color rgb="FF808080"/>
        <rFont val="Noto Sans CJK SC"/>
        <family val="2"/>
      </rPr>
      <t xml:space="preserve">검증 — </t>
    </r>
    <r>
      <rPr>
        <sz val="9"/>
        <color rgb="FF808080"/>
        <rFont val="Arial"/>
        <family val="2"/>
      </rPr>
      <t xml:space="preserve">2026-08 </t>
    </r>
    <r>
      <rPr>
        <sz val="9"/>
        <color rgb="FF808080"/>
        <rFont val="Noto Sans CJK SC"/>
        <family val="2"/>
      </rPr>
      <t>실측</t>
    </r>
    <r>
      <rPr>
        <sz val="9"/>
        <color rgb="FF808080"/>
        <rFont val="Arial"/>
        <family val="2"/>
      </rPr>
      <t xml:space="preserve">: </t>
    </r>
    <r>
      <rPr>
        <sz val="9"/>
        <color rgb="FF808080"/>
        <rFont val="Noto Sans CJK SC"/>
        <family val="2"/>
      </rPr>
      <t xml:space="preserve">누적 </t>
    </r>
    <r>
      <rPr>
        <sz val="9"/>
        <color rgb="FF808080"/>
        <rFont val="Arial"/>
        <family val="2"/>
      </rPr>
      <t>358.5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 xml:space="preserve">× 11.1% + </t>
    </r>
    <r>
      <rPr>
        <sz val="9"/>
        <color rgb="FF808080"/>
        <rFont val="Noto Sans CJK SC"/>
        <family val="2"/>
      </rPr>
      <t xml:space="preserve">신규 </t>
    </r>
    <r>
      <rPr>
        <sz val="9"/>
        <color rgb="FF808080"/>
        <rFont val="Arial"/>
        <family val="2"/>
      </rPr>
      <t>12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 xml:space="preserve">= </t>
    </r>
    <r>
      <rPr>
        <sz val="9"/>
        <color rgb="FF808080"/>
        <rFont val="Noto Sans CJK SC"/>
        <family val="2"/>
      </rPr>
      <t xml:space="preserve">활동 </t>
    </r>
    <r>
      <rPr>
        <sz val="9"/>
        <color rgb="FF808080"/>
        <rFont val="Arial"/>
        <family val="2"/>
      </rPr>
      <t>51.8</t>
    </r>
    <r>
      <rPr>
        <sz val="9"/>
        <color rgb="FF808080"/>
        <rFont val="Noto Sans CJK SC"/>
        <family val="2"/>
      </rPr>
      <t xml:space="preserve">만 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 xml:space="preserve">실측 </t>
    </r>
    <r>
      <rPr>
        <sz val="9"/>
        <color rgb="FF808080"/>
        <rFont val="Arial"/>
        <family val="2"/>
      </rPr>
      <t>52.1</t>
    </r>
    <r>
      <rPr>
        <sz val="9"/>
        <color rgb="FF808080"/>
        <rFont val="Noto Sans CJK SC"/>
        <family val="2"/>
      </rPr>
      <t>만</t>
    </r>
    <r>
      <rPr>
        <sz val="9"/>
        <color rgb="FF808080"/>
        <rFont val="Arial"/>
        <family val="2"/>
      </rPr>
      <t>)</t>
    </r>
  </si>
  <si>
    <t>① 현상유지</t>
  </si>
  <si>
    <r>
      <rPr>
        <sz val="9"/>
        <color rgb="FF808080"/>
        <rFont val="Noto Sans CJK SC"/>
        <family val="2"/>
      </rPr>
      <t xml:space="preserve">모든 값은 </t>
    </r>
    <r>
      <rPr>
        <sz val="9"/>
        <color rgb="FF808080"/>
        <rFont val="Arial"/>
        <family val="2"/>
      </rPr>
      <t>00_</t>
    </r>
    <r>
      <rPr>
        <sz val="9"/>
        <color rgb="FF808080"/>
        <rFont val="Noto Sans CJK SC"/>
        <family val="2"/>
      </rPr>
      <t>통제변수 시트에서 결정됩니다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이 시트는 수정하지 마십시오</t>
    </r>
    <r>
      <rPr>
        <sz val="9"/>
        <color rgb="FF808080"/>
        <rFont val="Arial"/>
        <family val="2"/>
      </rPr>
      <t>.</t>
    </r>
  </si>
  <si>
    <t>월차</t>
  </si>
  <si>
    <t>연도</t>
  </si>
  <si>
    <t>월</t>
  </si>
  <si>
    <r>
      <rPr>
        <b/>
        <sz val="10"/>
        <color rgb="FFFFFFFF"/>
        <rFont val="Noto Sans CJK SC"/>
        <family val="2"/>
      </rPr>
      <t xml:space="preserve">신규 구매고객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</si>
  <si>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누적 구매고객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</si>
  <si>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기존 활동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</si>
  <si>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활동 구매고객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</si>
  <si>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구매빈도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건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월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</si>
  <si>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구매건수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</si>
  <si>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객단가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</si>
  <si>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택배매출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억원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</si>
  <si>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총매출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억원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</si>
  <si>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회원수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</si>
  <si>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3"/>
        <rFont val="Noto Sans CJK SC"/>
        <family val="2"/>
      </rPr>
      <t xml:space="preserve">② 물류혁신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 xml:space="preserve">무배 인하 </t>
    </r>
    <r>
      <rPr>
        <b/>
        <sz val="13"/>
        <rFont val="Arial"/>
        <family val="2"/>
      </rPr>
      <t xml:space="preserve">+ </t>
    </r>
    <r>
      <rPr>
        <b/>
        <sz val="13"/>
        <rFont val="Noto Sans CJK SC"/>
        <family val="2"/>
      </rPr>
      <t>완전 익일배송</t>
    </r>
    <r>
      <rPr>
        <b/>
        <sz val="13"/>
        <rFont val="Arial"/>
        <family val="2"/>
      </rPr>
      <t>)</t>
    </r>
  </si>
  <si>
    <r>
      <rPr>
        <b/>
        <sz val="13"/>
        <rFont val="Noto Sans CJK SC"/>
        <family val="2"/>
      </rPr>
      <t xml:space="preserve">③ 물류혁신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완전 익일배송</t>
    </r>
    <r>
      <rPr>
        <b/>
        <sz val="13"/>
        <rFont val="Arial"/>
        <family val="2"/>
      </rPr>
      <t>)</t>
    </r>
  </si>
  <si>
    <r>
      <rPr>
        <b/>
        <sz val="13"/>
        <rFont val="Noto Sans CJK SC"/>
        <family val="2"/>
      </rPr>
      <t xml:space="preserve">④ 회원 확대 </t>
    </r>
    <r>
      <rPr>
        <b/>
        <sz val="13"/>
        <rFont val="Arial"/>
        <family val="2"/>
      </rPr>
      <t>(</t>
    </r>
    <r>
      <rPr>
        <b/>
        <sz val="13"/>
        <rFont val="Noto Sans CJK SC"/>
        <family val="2"/>
      </rPr>
      <t>외국인</t>
    </r>
    <r>
      <rPr>
        <b/>
        <sz val="13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</si>
  <si>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외국인 신규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</si>
  <si>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외국인 누적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</si>
  <si>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외국인 활동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</si>
  <si>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외국인 건수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</si>
  <si>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외국인 매출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억원</t>
    </r>
    <r>
      <rPr>
        <b/>
        <sz val="10"/>
        <color rgb="FFFFFFFF"/>
        <rFont val="Arial"/>
        <family val="2"/>
      </rPr>
      <t>)</t>
    </r>
  </si>
  <si>
    <t>시나리오 비교 요약</t>
  </si>
  <si>
    <r>
      <rPr>
        <sz val="9"/>
        <color rgb="FF808080"/>
        <rFont val="Noto Sans CJK SC"/>
        <family val="2"/>
      </rPr>
      <t>연도별 주요 지표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 xml:space="preserve">값은 </t>
    </r>
    <r>
      <rPr>
        <sz val="9"/>
        <color rgb="FF808080"/>
        <rFont val="Arial"/>
        <family val="2"/>
      </rPr>
      <t>00_</t>
    </r>
    <r>
      <rPr>
        <sz val="9"/>
        <color rgb="FF808080"/>
        <rFont val="Noto Sans CJK SC"/>
        <family val="2"/>
      </rPr>
      <t>통제변수 시트의 입력에 따라 자동으로 바뀝니다</t>
    </r>
    <r>
      <rPr>
        <sz val="9"/>
        <color rgb="FF808080"/>
        <rFont val="Arial"/>
        <family val="2"/>
      </rPr>
      <t>.</t>
    </r>
  </si>
  <si>
    <r>
      <rPr>
        <b/>
        <sz val="10"/>
        <rFont val="Noto Sans CJK SC"/>
        <family val="2"/>
      </rPr>
      <t xml:space="preserve">연간 총매출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억원</t>
    </r>
    <r>
      <rPr>
        <b/>
        <sz val="10"/>
        <rFont val="Arial"/>
        <family val="2"/>
      </rPr>
      <t>)</t>
    </r>
  </si>
  <si>
    <t>2027</t>
  </si>
  <si>
    <t>2028</t>
  </si>
  <si>
    <t>2029</t>
  </si>
  <si>
    <t>2030</t>
  </si>
  <si>
    <t>2031</t>
  </si>
  <si>
    <r>
      <rPr>
        <sz val="10"/>
        <rFont val="Noto Sans CJK SC"/>
        <family val="2"/>
      </rPr>
      <t xml:space="preserve">② 물류혁신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무배 인하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완전 익일배송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</si>
  <si>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③ 물류혁신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완전 익일배송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</si>
  <si>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④ 회원 확대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외국인</t>
    </r>
    <r>
      <rPr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</si>
  <si>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연간 택배매출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억원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</si>
  <si>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연간 구매건수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만건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</si>
  <si>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월매출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억원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</si>
  <si>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활동 구매고객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만명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</si>
  <si>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누적 구매고객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만명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</si>
  <si>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회원수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만명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</si>
  <si>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>월 잔존율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</si>
  <si>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구매빈도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건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월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</si>
  <si>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12</t>
    </r>
    <r>
      <rPr>
        <b/>
        <sz val="10"/>
        <rFont val="Noto Sans CJK SC"/>
        <family val="2"/>
      </rPr>
      <t xml:space="preserve">월 객단가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원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</si>
  <si>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캘리브레이션 </t>
    </r>
    <r>
      <rPr>
        <b/>
        <sz val="10"/>
        <rFont val="Arial"/>
        <family val="2"/>
      </rPr>
      <t>(2027</t>
    </r>
    <r>
      <rPr>
        <b/>
        <sz val="10"/>
        <rFont val="Noto Sans CJK SC"/>
        <family val="2"/>
      </rPr>
      <t>년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</si>
  <si>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사업계획 </t>
    </r>
    <r>
      <rPr>
        <sz val="10"/>
        <rFont val="Arial"/>
        <family val="2"/>
      </rPr>
      <t>2027</t>
    </r>
    <r>
      <rPr>
        <sz val="10"/>
        <rFont val="Noto Sans CJK SC"/>
        <family val="2"/>
      </rPr>
      <t xml:space="preserve">년 매출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억원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</si>
  <si>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모델 산출 — ① 현상유지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억원</t>
    </r>
    <r>
      <rPr>
        <sz val="10"/>
        <rFont val="Arial"/>
        <family val="2"/>
      </rPr>
      <t>)</t>
    </r>
  </si>
  <si>
    <t>차이</t>
  </si>
  <si>
    <t>사업계획에 맞추려면 보정계수</t>
  </si>
  <si>
    <r>
      <rPr>
        <sz val="9"/>
        <color rgb="FF808080"/>
        <rFont val="Noto Sans CJK SC"/>
        <family val="2"/>
      </rPr>
      <t xml:space="preserve">※ 모델은 </t>
    </r>
    <r>
      <rPr>
        <sz val="9"/>
        <color rgb="FF808080"/>
        <rFont val="Arial"/>
        <family val="2"/>
      </rPr>
      <t>2026</t>
    </r>
    <r>
      <rPr>
        <sz val="9"/>
        <color rgb="FF808080"/>
        <rFont val="Noto Sans CJK SC"/>
        <family val="2"/>
      </rPr>
      <t xml:space="preserve">년 실적 대비 약 </t>
    </r>
    <r>
      <rPr>
        <sz val="9"/>
        <color rgb="FF808080"/>
        <rFont val="Arial"/>
        <family val="2"/>
      </rPr>
      <t xml:space="preserve">10% </t>
    </r>
    <r>
      <rPr>
        <sz val="9"/>
        <color rgb="FF808080"/>
        <rFont val="Noto Sans CJK SC"/>
        <family val="2"/>
      </rPr>
      <t>높게 나옵니다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Noto Sans CJK SC"/>
        <family val="2"/>
      </rPr>
      <t>하반기 캐파 억제분이 모델에 없기 때문입니다</t>
    </r>
    <r>
      <rPr>
        <sz val="9"/>
        <color rgb="FF808080"/>
        <rFont val="Arial"/>
        <family val="2"/>
      </rPr>
      <t>.</t>
    </r>
  </si>
  <si>
    <r>
      <rPr>
        <sz val="9"/>
        <color rgb="FF808080"/>
        <rFont val="Noto Sans CJK SC"/>
        <family val="2"/>
      </rPr>
      <t xml:space="preserve">   사업계획과 맞추시려면 위 보정계수를 </t>
    </r>
    <r>
      <rPr>
        <sz val="9"/>
        <color rgb="FF808080"/>
        <rFont val="Arial"/>
        <family val="2"/>
      </rPr>
      <t>00_</t>
    </r>
    <r>
      <rPr>
        <sz val="9"/>
        <color rgb="FF808080"/>
        <rFont val="Noto Sans CJK SC"/>
        <family val="2"/>
      </rPr>
      <t xml:space="preserve">통제변수 </t>
    </r>
    <r>
      <rPr>
        <sz val="9"/>
        <color rgb="FF808080"/>
        <rFont val="Arial"/>
        <family val="2"/>
      </rPr>
      <t>B11</t>
    </r>
    <r>
      <rPr>
        <sz val="9"/>
        <color rgb="FF808080"/>
        <rFont val="Noto Sans CJK SC"/>
        <family val="2"/>
      </rPr>
      <t>에 입력하거나</t>
    </r>
    <r>
      <rPr>
        <sz val="9"/>
        <color rgb="FF808080"/>
        <rFont val="Arial"/>
        <family val="2"/>
      </rPr>
      <t xml:space="preserve">, </t>
    </r>
    <r>
      <rPr>
        <sz val="9"/>
        <color rgb="FF808080"/>
        <rFont val="Noto Sans CJK SC"/>
        <family val="2"/>
      </rPr>
      <t>신규 구매고객 시작값</t>
    </r>
    <r>
      <rPr>
        <sz val="9"/>
        <color rgb="FF808080"/>
        <rFont val="Arial"/>
        <family val="2"/>
      </rPr>
      <t>(16</t>
    </r>
    <r>
      <rPr>
        <sz val="9"/>
        <color rgb="FF808080"/>
        <rFont val="Noto Sans CJK SC"/>
        <family val="2"/>
      </rPr>
      <t>행</t>
    </r>
    <r>
      <rPr>
        <sz val="9"/>
        <color rgb="FF808080"/>
        <rFont val="Arial"/>
        <family val="2"/>
      </rPr>
      <t>)</t>
    </r>
    <r>
      <rPr>
        <sz val="9"/>
        <color rgb="FF808080"/>
        <rFont val="Noto Sans CJK SC"/>
        <family val="2"/>
      </rPr>
      <t>을 낮추십시오</t>
    </r>
    <r>
      <rPr>
        <sz val="9"/>
        <color rgb="FF80808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</si>
</sst>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color rgb="FF404040"/>
      <name val="Noto Sans CJK SC"/>
      <family val="2"/>
    </font>
    <font>
      <sz val="9"/>
      <color rgb="FF404040"/>
      <name val="Arial"/>
      <family val="2"/>
    </font>
    <font>
      <sz val="10"/>
      <color rgb="FF008000"/>
      <name val="Arial"/>
      <family val="2"/>
    </font>
    <font>
      <b/>
      <sz val="13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4F6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1B2A4A"/>
        <bgColor rgb="FF404040"/>
      </patternFill>
    </fill>
    <fill>
      <patternFill patternType="solid">
        <fgColor rgb="FFD8ECEC"/>
        <bgColor rgb="FFF2F4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3" borderId="1" xfId="0" applyFont="1" applyFill="1" applyBorder="1" applyAlignment="1">
      <alignment horizontal="right"/>
    </xf>
    <xf numFmtId="1" fontId="7" fillId="3" borderId="1" xfId="0" applyNumberFormat="1" applyFont="1" applyFill="1" applyBorder="1" applyAlignment="1">
      <alignment horizontal="right"/>
    </xf>
    <xf numFmtId="0" fontId="4" fillId="0" borderId="0" xfId="0" applyFont="1"/>
    <xf numFmtId="0" fontId="8" fillId="0" borderId="0" xfId="0" applyFont="1"/>
    <xf numFmtId="3" fontId="7" fillId="3" borderId="1" xfId="0" applyNumberFormat="1" applyFont="1" applyFill="1" applyBorder="1" applyAlignment="1">
      <alignment horizontal="right"/>
    </xf>
    <xf numFmtId="176" fontId="7" fillId="3" borderId="1" xfId="0" applyNumberFormat="1" applyFont="1" applyFill="1" applyBorder="1" applyAlignment="1">
      <alignment horizontal="right"/>
    </xf>
    <xf numFmtId="2" fontId="7" fillId="3" borderId="1" xfId="0" applyNumberFormat="1" applyFont="1" applyFill="1" applyBorder="1" applyAlignment="1">
      <alignment horizontal="right"/>
    </xf>
    <xf numFmtId="0" fontId="9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6" fillId="0" borderId="1" xfId="0" applyFont="1" applyBorder="1"/>
    <xf numFmtId="10" fontId="7" fillId="3" borderId="1" xfId="0" applyNumberFormat="1" applyFont="1" applyFill="1" applyBorder="1" applyAlignment="1">
      <alignment horizontal="right"/>
    </xf>
    <xf numFmtId="177" fontId="7" fillId="3" borderId="1" xfId="0" applyNumberFormat="1" applyFont="1" applyFill="1" applyBorder="1" applyAlignment="1">
      <alignment horizontal="right"/>
    </xf>
    <xf numFmtId="0" fontId="12" fillId="0" borderId="0" xfId="0" applyFont="1"/>
    <xf numFmtId="0" fontId="9" fillId="4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/>
    <xf numFmtId="2" fontId="14" fillId="0" borderId="1" xfId="0" applyNumberFormat="1" applyFont="1" applyBorder="1"/>
    <xf numFmtId="178" fontId="8" fillId="0" borderId="1" xfId="0" applyNumberFormat="1" applyFont="1" applyBorder="1"/>
    <xf numFmtId="10" fontId="14" fillId="0" borderId="1" xfId="0" applyNumberFormat="1" applyFont="1" applyBorder="1"/>
    <xf numFmtId="177" fontId="14" fillId="0" borderId="1" xfId="0" applyNumberFormat="1" applyFont="1" applyBorder="1"/>
    <xf numFmtId="3" fontId="14" fillId="0" borderId="1" xfId="0" applyNumberFormat="1" applyFont="1" applyBorder="1"/>
    <xf numFmtId="3" fontId="8" fillId="0" borderId="1" xfId="0" applyNumberFormat="1" applyFont="1" applyBorder="1"/>
    <xf numFmtId="1" fontId="8" fillId="5" borderId="1" xfId="0" applyNumberFormat="1" applyFont="1" applyFill="1" applyBorder="1"/>
    <xf numFmtId="2" fontId="14" fillId="5" borderId="1" xfId="0" applyNumberFormat="1" applyFont="1" applyFill="1" applyBorder="1"/>
    <xf numFmtId="178" fontId="8" fillId="5" borderId="1" xfId="0" applyNumberFormat="1" applyFont="1" applyFill="1" applyBorder="1"/>
    <xf numFmtId="10" fontId="14" fillId="5" borderId="1" xfId="0" applyNumberFormat="1" applyFont="1" applyFill="1" applyBorder="1"/>
    <xf numFmtId="177" fontId="14" fillId="5" borderId="1" xfId="0" applyNumberFormat="1" applyFont="1" applyFill="1" applyBorder="1"/>
    <xf numFmtId="3" fontId="14" fillId="5" borderId="1" xfId="0" applyNumberFormat="1" applyFont="1" applyFill="1" applyBorder="1"/>
    <xf numFmtId="3" fontId="8" fillId="5" borderId="1" xfId="0" applyNumberFormat="1" applyFont="1" applyFill="1" applyBorder="1"/>
    <xf numFmtId="177" fontId="8" fillId="0" borderId="1" xfId="0" applyNumberFormat="1" applyFont="1" applyBorder="1"/>
    <xf numFmtId="2" fontId="8" fillId="0" borderId="1" xfId="0" applyNumberFormat="1" applyFont="1" applyBorder="1"/>
    <xf numFmtId="177" fontId="8" fillId="5" borderId="1" xfId="0" applyNumberFormat="1" applyFont="1" applyFill="1" applyBorder="1"/>
    <xf numFmtId="2" fontId="8" fillId="5" borderId="1" xfId="0" applyNumberFormat="1" applyFont="1" applyFill="1" applyBorder="1"/>
    <xf numFmtId="0" fontId="5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178" fontId="14" fillId="0" borderId="1" xfId="0" applyNumberFormat="1" applyFont="1" applyBorder="1"/>
    <xf numFmtId="0" fontId="0" fillId="2" borderId="1" xfId="0" applyFill="1" applyBorder="1"/>
    <xf numFmtId="3" fontId="7" fillId="3" borderId="1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D8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1B2A4A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시나리오별 연간 총매출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억원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'05_요약'!$A$5</c:f>
              <c:strCache>
                <c:ptCount val="1"/>
                <c:pt idx="0">
                  <c:v>① 현상유지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'05_요약'!$B$4:$F$4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'05_요약'!$B$5:$F$5</c:f>
              <c:numCache>
                <c:formatCode>#,##0</c:formatCode>
                <c:ptCount val="5"/>
                <c:pt idx="0">
                  <c:v>3209.8023044767347</c:v>
                </c:pt>
                <c:pt idx="1">
                  <c:v>3925.6697706398954</c:v>
                </c:pt>
                <c:pt idx="2">
                  <c:v>4599.7469035071317</c:v>
                </c:pt>
                <c:pt idx="3">
                  <c:v>5234.473305434376</c:v>
                </c:pt>
                <c:pt idx="4">
                  <c:v>5832.1461616397683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95-4F8D-B7E4-DD8D0D45E3C5}"/>
            </c:ext>
          </c:extLst>
        </c:ser>
        <c:ser>
          <c:idx val="1"/>
          <c:order val="1"/>
          <c:tx>
            <c:strRef>
              <c:f>'05_요약'!$A$6</c:f>
              <c:strCache>
                <c:ptCount val="1"/>
                <c:pt idx="0">
                  <c:v>② 물류혁신 (무배 인하 + 완전 익일배송)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'05_요약'!$B$4:$F$4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'05_요약'!$B$6:$F$6</c:f>
              <c:numCache>
                <c:formatCode>#,##0</c:formatCode>
                <c:ptCount val="5"/>
                <c:pt idx="0">
                  <c:v>3138.7445639931598</c:v>
                </c:pt>
                <c:pt idx="1">
                  <c:v>4449.5281662134985</c:v>
                </c:pt>
                <c:pt idx="2">
                  <c:v>6512.7250958842706</c:v>
                </c:pt>
                <c:pt idx="3">
                  <c:v>8497.4391117734631</c:v>
                </c:pt>
                <c:pt idx="4">
                  <c:v>9943.5193326880544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95-4F8D-B7E4-DD8D0D45E3C5}"/>
            </c:ext>
          </c:extLst>
        </c:ser>
        <c:ser>
          <c:idx val="2"/>
          <c:order val="2"/>
          <c:tx>
            <c:strRef>
              <c:f>'05_요약'!$A$7</c:f>
              <c:strCache>
                <c:ptCount val="1"/>
                <c:pt idx="0">
                  <c:v>③ 물류혁신 (완전 익일배송)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'05_요약'!$B$4:$F$4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'05_요약'!$B$7:$F$7</c:f>
              <c:numCache>
                <c:formatCode>#,##0</c:formatCode>
                <c:ptCount val="5"/>
                <c:pt idx="0">
                  <c:v>3414.9342769697837</c:v>
                </c:pt>
                <c:pt idx="1">
                  <c:v>4485.3219180940478</c:v>
                </c:pt>
                <c:pt idx="2">
                  <c:v>5661.4862567636719</c:v>
                </c:pt>
                <c:pt idx="3">
                  <c:v>6929.0264079097469</c:v>
                </c:pt>
                <c:pt idx="4">
                  <c:v>8189.042077214167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95-4F8D-B7E4-DD8D0D45E3C5}"/>
            </c:ext>
          </c:extLst>
        </c:ser>
        <c:ser>
          <c:idx val="3"/>
          <c:order val="3"/>
          <c:tx>
            <c:strRef>
              <c:f>'05_요약'!$A$8</c:f>
              <c:strCache>
                <c:ptCount val="1"/>
                <c:pt idx="0">
                  <c:v>④ 회원 확대 (외국인)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'05_요약'!$B$4:$F$4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'05_요약'!$B$8:$F$8</c:f>
              <c:numCache>
                <c:formatCode>#,##0</c:formatCode>
                <c:ptCount val="5"/>
                <c:pt idx="0">
                  <c:v>3237.8769313424059</c:v>
                </c:pt>
                <c:pt idx="1">
                  <c:v>4029.2369348189995</c:v>
                </c:pt>
                <c:pt idx="2">
                  <c:v>4732.3289930593719</c:v>
                </c:pt>
                <c:pt idx="3">
                  <c:v>5396.0703203597477</c:v>
                </c:pt>
                <c:pt idx="4">
                  <c:v>6022.758101938276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595-4F8D-B7E4-DD8D0D45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089262"/>
        <c:axId val="61186247"/>
      </c:lineChart>
      <c:catAx>
        <c:axId val="57089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1186247"/>
        <c:crosses val="autoZero"/>
        <c:auto val="1"/>
        <c:lblAlgn val="ctr"/>
        <c:lblOffset val="100"/>
        <c:noMultiLvlLbl val="0"/>
      </c:catAx>
      <c:valAx>
        <c:axId val="61186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7089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19</xdr:col>
      <xdr:colOff>581400</xdr:colOff>
      <xdr:row>21</xdr:row>
      <xdr:rowOff>156240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zoomScaleNormal="100" workbookViewId="0">
      <selection activeCell="D20" sqref="D20"/>
    </sheetView>
  </sheetViews>
  <sheetFormatPr defaultColWidth="8.7109375" defaultRowHeight="15"/>
  <cols>
    <col min="1" max="1" width="34" customWidth="1"/>
    <col min="2" max="6" width="13" customWidth="1"/>
    <col min="7" max="7" width="2" customWidth="1"/>
    <col min="8" max="8" width="58" customWidth="1"/>
  </cols>
  <sheetData>
    <row r="1" spans="1:8" ht="16.5">
      <c r="A1" s="1" t="s">
        <v>0</v>
      </c>
    </row>
    <row r="2" spans="1:8">
      <c r="A2" s="2" t="s">
        <v>1</v>
      </c>
    </row>
    <row r="4" spans="1:8">
      <c r="A4" s="3" t="s">
        <v>2</v>
      </c>
      <c r="B4" s="4"/>
      <c r="C4" s="4"/>
      <c r="D4" s="4"/>
      <c r="E4" s="4"/>
      <c r="F4" s="4"/>
      <c r="G4" s="4"/>
      <c r="H4" s="4"/>
    </row>
    <row r="5" spans="1:8">
      <c r="A5" s="5" t="s">
        <v>3</v>
      </c>
      <c r="B5" s="6" t="s">
        <v>4</v>
      </c>
      <c r="D5" s="2" t="s">
        <v>5</v>
      </c>
    </row>
    <row r="6" spans="1:8">
      <c r="A6" s="5" t="s">
        <v>6</v>
      </c>
      <c r="B6" s="7">
        <v>60</v>
      </c>
      <c r="D6" s="8" t="s">
        <v>7</v>
      </c>
    </row>
    <row r="7" spans="1:8">
      <c r="A7" s="9" t="s">
        <v>8</v>
      </c>
      <c r="B7" s="10">
        <v>406</v>
      </c>
      <c r="D7" s="8" t="s">
        <v>9</v>
      </c>
    </row>
    <row r="8" spans="1:8">
      <c r="A8" s="5" t="s">
        <v>10</v>
      </c>
      <c r="B8" s="11">
        <v>6.2E-2</v>
      </c>
      <c r="D8" s="2" t="s">
        <v>11</v>
      </c>
    </row>
    <row r="9" spans="1:8">
      <c r="A9" s="5" t="s">
        <v>12</v>
      </c>
      <c r="B9" s="12">
        <v>2.58</v>
      </c>
      <c r="D9" s="2" t="s">
        <v>13</v>
      </c>
    </row>
    <row r="10" spans="1:8">
      <c r="A10" s="5" t="s">
        <v>14</v>
      </c>
      <c r="B10" s="12">
        <v>1.8</v>
      </c>
      <c r="D10" s="2" t="s">
        <v>15</v>
      </c>
    </row>
    <row r="11" spans="1:8">
      <c r="A11" s="5" t="s">
        <v>16</v>
      </c>
      <c r="B11" s="12">
        <v>1</v>
      </c>
      <c r="D11" s="2" t="s">
        <v>17</v>
      </c>
    </row>
    <row r="14" spans="1:8">
      <c r="A14" s="3" t="s">
        <v>18</v>
      </c>
      <c r="B14" s="4"/>
      <c r="C14" s="4"/>
      <c r="D14" s="4"/>
      <c r="E14" s="4"/>
      <c r="F14" s="4"/>
      <c r="G14" s="4"/>
      <c r="H14" s="4"/>
    </row>
    <row r="15" spans="1:8">
      <c r="A15" s="13" t="s">
        <v>19</v>
      </c>
      <c r="C15" s="14" t="s">
        <v>20</v>
      </c>
      <c r="D15" s="14" t="s">
        <v>21</v>
      </c>
      <c r="E15" s="14" t="s">
        <v>22</v>
      </c>
      <c r="F15" s="14" t="s">
        <v>23</v>
      </c>
      <c r="H15" s="13" t="s">
        <v>24</v>
      </c>
    </row>
    <row r="16" spans="1:8">
      <c r="A16" s="15" t="s">
        <v>25</v>
      </c>
      <c r="C16" s="12">
        <v>12</v>
      </c>
      <c r="D16" s="12">
        <v>12</v>
      </c>
      <c r="E16" s="12">
        <v>12</v>
      </c>
      <c r="F16" s="12">
        <v>12</v>
      </c>
      <c r="H16" s="8" t="s">
        <v>26</v>
      </c>
    </row>
    <row r="17" spans="1:8">
      <c r="A17" s="15" t="s">
        <v>27</v>
      </c>
      <c r="C17" s="16">
        <v>-5.0000000000000001E-3</v>
      </c>
      <c r="D17" s="16">
        <v>-1E-3</v>
      </c>
      <c r="E17" s="16">
        <v>-3.0000000000000001E-3</v>
      </c>
      <c r="F17" s="16">
        <v>-5.0000000000000001E-3</v>
      </c>
      <c r="H17" s="2" t="s">
        <v>28</v>
      </c>
    </row>
    <row r="18" spans="1:8">
      <c r="A18" s="15" t="s">
        <v>29</v>
      </c>
      <c r="C18" s="11">
        <v>0.111</v>
      </c>
      <c r="D18" s="11">
        <v>0.111</v>
      </c>
      <c r="E18" s="11">
        <v>0.111</v>
      </c>
      <c r="F18" s="11">
        <v>0.111</v>
      </c>
      <c r="H18" s="2" t="s">
        <v>30</v>
      </c>
    </row>
    <row r="19" spans="1:8">
      <c r="A19" s="15" t="s">
        <v>31</v>
      </c>
      <c r="C19" s="11">
        <v>0.105</v>
      </c>
      <c r="D19" s="11">
        <v>0.15</v>
      </c>
      <c r="E19" s="11">
        <v>0.12</v>
      </c>
      <c r="F19" s="11">
        <v>0.105</v>
      </c>
      <c r="H19" s="2" t="s">
        <v>32</v>
      </c>
    </row>
    <row r="20" spans="1:8">
      <c r="A20" s="15" t="s">
        <v>33</v>
      </c>
      <c r="C20" s="7">
        <v>1</v>
      </c>
      <c r="D20" s="7">
        <v>6</v>
      </c>
      <c r="E20" s="7">
        <v>6</v>
      </c>
      <c r="F20" s="7">
        <v>1</v>
      </c>
      <c r="H20" s="8" t="s">
        <v>34</v>
      </c>
    </row>
    <row r="21" spans="1:8">
      <c r="A21" s="15" t="s">
        <v>35</v>
      </c>
      <c r="C21" s="7">
        <v>1</v>
      </c>
      <c r="D21" s="7">
        <v>42</v>
      </c>
      <c r="E21" s="7">
        <v>48</v>
      </c>
      <c r="F21" s="7">
        <v>1</v>
      </c>
      <c r="H21" s="2" t="s">
        <v>36</v>
      </c>
    </row>
    <row r="22" spans="1:8">
      <c r="A22" s="15" t="s">
        <v>37</v>
      </c>
      <c r="C22" s="17">
        <v>1.2889999999999999</v>
      </c>
      <c r="D22" s="17">
        <v>1.2889999999999999</v>
      </c>
      <c r="E22" s="17">
        <v>1.2889999999999999</v>
      </c>
      <c r="F22" s="17">
        <v>1.2889999999999999</v>
      </c>
      <c r="H22" s="2" t="s">
        <v>38</v>
      </c>
    </row>
    <row r="23" spans="1:8">
      <c r="A23" s="15" t="s">
        <v>39</v>
      </c>
      <c r="C23" s="17">
        <v>1.2889999999999999</v>
      </c>
      <c r="D23" s="17">
        <v>1.8</v>
      </c>
      <c r="E23" s="17">
        <v>1.55</v>
      </c>
      <c r="F23" s="17">
        <v>1.2889999999999999</v>
      </c>
      <c r="H23" s="2" t="s">
        <v>40</v>
      </c>
    </row>
    <row r="24" spans="1:8">
      <c r="A24" s="15" t="s">
        <v>41</v>
      </c>
      <c r="C24" s="7">
        <v>1</v>
      </c>
      <c r="D24" s="7">
        <v>6</v>
      </c>
      <c r="E24" s="7">
        <v>6</v>
      </c>
      <c r="F24" s="7">
        <v>1</v>
      </c>
      <c r="H24" s="2"/>
    </row>
    <row r="25" spans="1:8">
      <c r="A25" s="15" t="s">
        <v>42</v>
      </c>
      <c r="C25" s="7">
        <v>1</v>
      </c>
      <c r="D25" s="7">
        <v>30</v>
      </c>
      <c r="E25" s="7">
        <v>48</v>
      </c>
      <c r="F25" s="7">
        <v>1</v>
      </c>
      <c r="H25" s="2"/>
    </row>
    <row r="26" spans="1:8">
      <c r="A26" s="15" t="s">
        <v>43</v>
      </c>
      <c r="C26" s="10">
        <v>31846</v>
      </c>
      <c r="D26" s="10">
        <v>31846</v>
      </c>
      <c r="E26" s="10">
        <v>31846</v>
      </c>
      <c r="F26" s="10">
        <v>31846</v>
      </c>
      <c r="H26" s="2" t="s">
        <v>44</v>
      </c>
    </row>
    <row r="27" spans="1:8">
      <c r="A27" s="15" t="s">
        <v>45</v>
      </c>
      <c r="C27" s="10">
        <v>31846</v>
      </c>
      <c r="D27" s="10">
        <v>26000</v>
      </c>
      <c r="E27" s="10">
        <v>31846</v>
      </c>
      <c r="F27" s="10">
        <v>31846</v>
      </c>
      <c r="H27" s="2" t="s">
        <v>46</v>
      </c>
    </row>
    <row r="28" spans="1:8">
      <c r="A28" s="15" t="s">
        <v>47</v>
      </c>
      <c r="C28" s="7">
        <v>999</v>
      </c>
      <c r="D28" s="7">
        <f>D20</f>
        <v>6</v>
      </c>
      <c r="E28" s="7">
        <v>999</v>
      </c>
      <c r="F28" s="7">
        <v>999</v>
      </c>
      <c r="H28" s="8" t="s">
        <v>48</v>
      </c>
    </row>
    <row r="31" spans="1:8">
      <c r="A31" s="3" t="s">
        <v>49</v>
      </c>
      <c r="B31" s="4"/>
      <c r="C31" s="4"/>
      <c r="D31" s="4"/>
      <c r="E31" s="4"/>
      <c r="F31" s="4"/>
      <c r="G31" s="4"/>
      <c r="H31" s="4"/>
    </row>
    <row r="32" spans="1:8">
      <c r="A32" s="5" t="s">
        <v>50</v>
      </c>
      <c r="B32" s="7">
        <v>9</v>
      </c>
      <c r="D32" s="8" t="s">
        <v>51</v>
      </c>
    </row>
    <row r="33" spans="1:8">
      <c r="A33" s="5" t="s">
        <v>52</v>
      </c>
      <c r="B33" s="10">
        <v>10000</v>
      </c>
      <c r="D33" s="2" t="s">
        <v>53</v>
      </c>
    </row>
    <row r="34" spans="1:8">
      <c r="A34" s="5" t="s">
        <v>54</v>
      </c>
      <c r="B34" s="11">
        <v>0.03</v>
      </c>
      <c r="D34" s="2" t="s">
        <v>55</v>
      </c>
    </row>
    <row r="35" spans="1:8">
      <c r="A35" s="5" t="s">
        <v>56</v>
      </c>
      <c r="B35" s="10">
        <v>60000</v>
      </c>
      <c r="D35" s="2" t="s">
        <v>57</v>
      </c>
    </row>
    <row r="36" spans="1:8">
      <c r="A36" s="5" t="s">
        <v>58</v>
      </c>
      <c r="B36" s="17">
        <v>1.05</v>
      </c>
      <c r="D36" s="2" t="s">
        <v>59</v>
      </c>
    </row>
    <row r="39" spans="1:8">
      <c r="A39" s="3" t="s">
        <v>60</v>
      </c>
      <c r="B39" s="4"/>
      <c r="C39" s="4"/>
      <c r="D39" s="4"/>
      <c r="E39" s="4"/>
      <c r="F39" s="4"/>
      <c r="G39" s="4"/>
      <c r="H39" s="4"/>
    </row>
    <row r="40" spans="1:8">
      <c r="A40" s="5" t="s">
        <v>61</v>
      </c>
    </row>
    <row r="41" spans="1:8">
      <c r="A41" s="5" t="s">
        <v>62</v>
      </c>
    </row>
    <row r="42" spans="1:8">
      <c r="A42" s="5"/>
    </row>
    <row r="43" spans="1:8">
      <c r="A43" s="5" t="s">
        <v>63</v>
      </c>
    </row>
    <row r="44" spans="1:8">
      <c r="A44" s="18" t="s">
        <v>64</v>
      </c>
    </row>
    <row r="45" spans="1:8">
      <c r="A45" s="18" t="s">
        <v>65</v>
      </c>
    </row>
    <row r="46" spans="1:8">
      <c r="A46" s="18" t="s">
        <v>66</v>
      </c>
    </row>
    <row r="47" spans="1:8">
      <c r="A47" s="18" t="s">
        <v>67</v>
      </c>
    </row>
    <row r="48" spans="1:8">
      <c r="A48" s="18" t="s">
        <v>68</v>
      </c>
    </row>
    <row r="49" spans="1:1">
      <c r="A49" s="18" t="s">
        <v>69</v>
      </c>
    </row>
    <row r="50" spans="1:1">
      <c r="A50" s="18" t="s">
        <v>70</v>
      </c>
    </row>
    <row r="51" spans="1:1">
      <c r="A51" s="5"/>
    </row>
    <row r="52" spans="1:1">
      <c r="A52" s="5" t="s">
        <v>71</v>
      </c>
    </row>
    <row r="53" spans="1:1">
      <c r="A53" s="2" t="s">
        <v>72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"/>
  <sheetViews>
    <sheetView showGridLines="0" topLeftCell="A29" zoomScaleNormal="100" workbookViewId="0">
      <selection activeCell="N63" sqref="N63"/>
    </sheetView>
  </sheetViews>
  <sheetFormatPr defaultColWidth="8.7109375" defaultRowHeight="15"/>
  <cols>
    <col min="1" max="1" width="6" customWidth="1"/>
    <col min="2" max="2" width="7" customWidth="1"/>
    <col min="3" max="3" width="5" customWidth="1"/>
    <col min="4" max="4" width="12" customWidth="1"/>
    <col min="5" max="5" width="13" customWidth="1"/>
    <col min="6" max="6" width="9" customWidth="1"/>
    <col min="7" max="7" width="11" customWidth="1"/>
    <col min="8" max="8" width="12" customWidth="1"/>
    <col min="9" max="10" width="11" customWidth="1"/>
    <col min="11" max="11" width="10" customWidth="1"/>
    <col min="12" max="18" width="11" customWidth="1"/>
    <col min="19" max="19" width="12" customWidth="1"/>
  </cols>
  <sheetData>
    <row r="1" spans="1:14" ht="16.5">
      <c r="A1" s="1" t="s">
        <v>73</v>
      </c>
    </row>
    <row r="2" spans="1:14">
      <c r="A2" s="2" t="s">
        <v>74</v>
      </c>
    </row>
    <row r="3" spans="1:14" ht="33.75" customHeight="1">
      <c r="A3" s="19" t="s">
        <v>75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54</v>
      </c>
      <c r="G3" s="19" t="s">
        <v>80</v>
      </c>
      <c r="H3" s="19" t="s">
        <v>81</v>
      </c>
      <c r="I3" s="19" t="s">
        <v>82</v>
      </c>
      <c r="J3" s="19" t="s">
        <v>83</v>
      </c>
      <c r="K3" s="19" t="s">
        <v>84</v>
      </c>
      <c r="L3" s="19" t="s">
        <v>85</v>
      </c>
      <c r="M3" s="19" t="s">
        <v>86</v>
      </c>
      <c r="N3" s="19" t="s">
        <v>87</v>
      </c>
    </row>
    <row r="4" spans="1:14">
      <c r="A4" s="20">
        <v>1</v>
      </c>
      <c r="B4" s="20">
        <v>2027</v>
      </c>
      <c r="C4" s="20">
        <v>1</v>
      </c>
      <c r="D4" s="21">
        <f>'00_통제변수'!$C$16*(1+'00_통제변수'!$C$17)^(A4-1)</f>
        <v>12</v>
      </c>
      <c r="E4" s="22">
        <f>'00_통제변수'!$B$7+D4</f>
        <v>418</v>
      </c>
      <c r="F4" s="23">
        <f>'00_통제변수'!$C$18+('00_통제변수'!$C$19-'00_통제변수'!$C$18)*MIN(1,MAX(0,(A4-'00_통제변수'!$C$20+1)/MAX(1,'00_통제변수'!$C$21)))</f>
        <v>0.105</v>
      </c>
      <c r="G4" s="22">
        <f>'00_통제변수'!$B$7*F4</f>
        <v>42.629999999999995</v>
      </c>
      <c r="H4" s="22">
        <f t="shared" ref="H4:H35" si="0">D4+G4</f>
        <v>54.629999999999995</v>
      </c>
      <c r="I4" s="24">
        <f>'00_통제변수'!$C$22+('00_통제변수'!$C$23-'00_통제변수'!$C$22)*MIN(1,MAX(0,(A4-'00_통제변수'!$C$24+1)/MAX(1,'00_통제변수'!$C$25)))</f>
        <v>1.2889999999999999</v>
      </c>
      <c r="J4" s="22">
        <f t="shared" ref="J4:J35" si="1">H4*I4</f>
        <v>70.418069999999986</v>
      </c>
      <c r="K4" s="25">
        <f>IF(A4&gt;='00_통제변수'!$C$28,'00_통제변수'!$C$27,'00_통제변수'!$C$26)</f>
        <v>31846</v>
      </c>
      <c r="L4" s="26">
        <f t="shared" ref="L4:L35" si="2">J4*K4/10000</f>
        <v>224.25338572199996</v>
      </c>
      <c r="M4" s="26">
        <f>L4/(1-'00_통제변수'!$B$8)*'00_통제변수'!$B$11</f>
        <v>239.07610418123664</v>
      </c>
      <c r="N4" s="26">
        <f>E4*('00_통제변수'!$B$9+('00_통제변수'!$B$10-'00_통제변수'!$B$9)*(A4-1)/MAX(1,'00_통제변수'!$B$6-1))</f>
        <v>1078.44</v>
      </c>
    </row>
    <row r="5" spans="1:14">
      <c r="A5" s="20">
        <v>2</v>
      </c>
      <c r="B5" s="20">
        <v>2027</v>
      </c>
      <c r="C5" s="20">
        <v>2</v>
      </c>
      <c r="D5" s="21">
        <f>'00_통제변수'!$C$16*(1+'00_통제변수'!$C$17)^(A5-1)</f>
        <v>11.94</v>
      </c>
      <c r="E5" s="22">
        <f t="shared" ref="E5:E36" si="3">E4+D5</f>
        <v>429.94</v>
      </c>
      <c r="F5" s="23">
        <f>'00_통제변수'!$C$18+('00_통제변수'!$C$19-'00_통제변수'!$C$18)*MIN(1,MAX(0,(A5-'00_통제변수'!$C$20+1)/MAX(1,'00_통제변수'!$C$21)))</f>
        <v>0.105</v>
      </c>
      <c r="G5" s="22">
        <f t="shared" ref="G5:G36" si="4">E4*F5</f>
        <v>43.89</v>
      </c>
      <c r="H5" s="22">
        <f t="shared" si="0"/>
        <v>55.83</v>
      </c>
      <c r="I5" s="24">
        <f>'00_통제변수'!$C$22+('00_통제변수'!$C$23-'00_통제변수'!$C$22)*MIN(1,MAX(0,(A5-'00_통제변수'!$C$24+1)/MAX(1,'00_통제변수'!$C$25)))</f>
        <v>1.2889999999999999</v>
      </c>
      <c r="J5" s="22">
        <f t="shared" si="1"/>
        <v>71.964869999999991</v>
      </c>
      <c r="K5" s="25">
        <f>IF(A5&gt;='00_통제변수'!$C$28,'00_통제변수'!$C$27,'00_통제변수'!$C$26)</f>
        <v>31846</v>
      </c>
      <c r="L5" s="26">
        <f t="shared" si="2"/>
        <v>229.17932500199996</v>
      </c>
      <c r="M5" s="26">
        <f>L5/(1-'00_통제변수'!$B$8)*'00_통제변수'!$B$11</f>
        <v>244.3276385948827</v>
      </c>
      <c r="N5" s="26">
        <f>E5*('00_통제변수'!$B$9+('00_통제변수'!$B$10-'00_통제변수'!$B$9)*(A5-1)/MAX(1,'00_통제변수'!$B$6-1))</f>
        <v>1103.5612474576271</v>
      </c>
    </row>
    <row r="6" spans="1:14">
      <c r="A6" s="20">
        <v>3</v>
      </c>
      <c r="B6" s="20">
        <v>2027</v>
      </c>
      <c r="C6" s="20">
        <v>3</v>
      </c>
      <c r="D6" s="21">
        <f>'00_통제변수'!$C$16*(1+'00_통제변수'!$C$17)^(A6-1)</f>
        <v>11.8803</v>
      </c>
      <c r="E6" s="22">
        <f t="shared" si="3"/>
        <v>441.82029999999997</v>
      </c>
      <c r="F6" s="23">
        <f>'00_통제변수'!$C$18+('00_통제변수'!$C$19-'00_통제변수'!$C$18)*MIN(1,MAX(0,(A6-'00_통제변수'!$C$20+1)/MAX(1,'00_통제변수'!$C$21)))</f>
        <v>0.105</v>
      </c>
      <c r="G6" s="22">
        <f t="shared" si="4"/>
        <v>45.143699999999995</v>
      </c>
      <c r="H6" s="22">
        <f t="shared" si="0"/>
        <v>57.023999999999994</v>
      </c>
      <c r="I6" s="24">
        <f>'00_통제변수'!$C$22+('00_통제변수'!$C$23-'00_통제변수'!$C$22)*MIN(1,MAX(0,(A6-'00_통제변수'!$C$24+1)/MAX(1,'00_통제변수'!$C$25)))</f>
        <v>1.2889999999999999</v>
      </c>
      <c r="J6" s="22">
        <f t="shared" si="1"/>
        <v>73.503935999999982</v>
      </c>
      <c r="K6" s="25">
        <f>IF(A6&gt;='00_통제변수'!$C$28,'00_통제변수'!$C$27,'00_통제변수'!$C$26)</f>
        <v>31846</v>
      </c>
      <c r="L6" s="26">
        <f t="shared" si="2"/>
        <v>234.08063458559994</v>
      </c>
      <c r="M6" s="26">
        <f>L6/(1-'00_통제변수'!$B$8)*'00_통제변수'!$B$11</f>
        <v>249.5529153364605</v>
      </c>
      <c r="N6" s="26">
        <f>E6*('00_통제변수'!$B$9+('00_통제변수'!$B$10-'00_통제변수'!$B$9)*(A6-1)/MAX(1,'00_통제변수'!$B$6-1))</f>
        <v>1128.2143457288137</v>
      </c>
    </row>
    <row r="7" spans="1:14">
      <c r="A7" s="20">
        <v>4</v>
      </c>
      <c r="B7" s="20">
        <v>2027</v>
      </c>
      <c r="C7" s="20">
        <v>4</v>
      </c>
      <c r="D7" s="21">
        <f>'00_통제변수'!$C$16*(1+'00_통제변수'!$C$17)^(A7-1)</f>
        <v>11.8208985</v>
      </c>
      <c r="E7" s="22">
        <f t="shared" si="3"/>
        <v>453.64119849999997</v>
      </c>
      <c r="F7" s="23">
        <f>'00_통제변수'!$C$18+('00_통제변수'!$C$19-'00_통제변수'!$C$18)*MIN(1,MAX(0,(A7-'00_통제변수'!$C$20+1)/MAX(1,'00_통제변수'!$C$21)))</f>
        <v>0.105</v>
      </c>
      <c r="G7" s="22">
        <f t="shared" si="4"/>
        <v>46.391131499999993</v>
      </c>
      <c r="H7" s="22">
        <f t="shared" si="0"/>
        <v>58.212029999999992</v>
      </c>
      <c r="I7" s="24">
        <f>'00_통제변수'!$C$22+('00_통제변수'!$C$23-'00_통제변수'!$C$22)*MIN(1,MAX(0,(A7-'00_통제변수'!$C$24+1)/MAX(1,'00_통제변수'!$C$25)))</f>
        <v>1.2889999999999999</v>
      </c>
      <c r="J7" s="22">
        <f t="shared" si="1"/>
        <v>75.035306669999983</v>
      </c>
      <c r="K7" s="25">
        <f>IF(A7&gt;='00_통제변수'!$C$28,'00_통제변수'!$C$27,'00_통제변수'!$C$26)</f>
        <v>31846</v>
      </c>
      <c r="L7" s="26">
        <f t="shared" si="2"/>
        <v>238.95743762128194</v>
      </c>
      <c r="M7" s="26">
        <f>L7/(1-'00_통제변수'!$B$8)*'00_통제변수'!$B$11</f>
        <v>254.75206569433044</v>
      </c>
      <c r="N7" s="26">
        <f>E7*('00_통제변수'!$B$9+('00_통제변수'!$B$10-'00_통제변수'!$B$9)*(A7-1)/MAX(1,'00_통제변수'!$B$6-1))</f>
        <v>1152.4024208674575</v>
      </c>
    </row>
    <row r="8" spans="1:14">
      <c r="A8" s="20">
        <v>5</v>
      </c>
      <c r="B8" s="20">
        <v>2027</v>
      </c>
      <c r="C8" s="20">
        <v>5</v>
      </c>
      <c r="D8" s="21">
        <f>'00_통제변수'!$C$16*(1+'00_통제변수'!$C$17)^(A8-1)</f>
        <v>11.761794007500001</v>
      </c>
      <c r="E8" s="22">
        <f t="shared" si="3"/>
        <v>465.40299250749996</v>
      </c>
      <c r="F8" s="23">
        <f>'00_통제변수'!$C$18+('00_통제변수'!$C$19-'00_통제변수'!$C$18)*MIN(1,MAX(0,(A8-'00_통제변수'!$C$20+1)/MAX(1,'00_통제변수'!$C$21)))</f>
        <v>0.105</v>
      </c>
      <c r="G8" s="22">
        <f t="shared" si="4"/>
        <v>47.632325842499995</v>
      </c>
      <c r="H8" s="22">
        <f t="shared" si="0"/>
        <v>59.394119849999996</v>
      </c>
      <c r="I8" s="24">
        <f>'00_통제변수'!$C$22+('00_통제변수'!$C$23-'00_통제변수'!$C$22)*MIN(1,MAX(0,(A8-'00_통제변수'!$C$24+1)/MAX(1,'00_통제변수'!$C$25)))</f>
        <v>1.2889999999999999</v>
      </c>
      <c r="J8" s="22">
        <f t="shared" si="1"/>
        <v>76.559020486649985</v>
      </c>
      <c r="K8" s="25">
        <f>IF(A8&gt;='00_통제변수'!$C$28,'00_통제변수'!$C$27,'00_통제변수'!$C$26)</f>
        <v>31846</v>
      </c>
      <c r="L8" s="26">
        <f t="shared" si="2"/>
        <v>243.80985664178553</v>
      </c>
      <c r="M8" s="26">
        <f>L8/(1-'00_통제변수'!$B$8)*'00_통제변수'!$B$11</f>
        <v>259.92522030041101</v>
      </c>
      <c r="N8" s="26">
        <f>E8*('00_통제변수'!$B$9+('00_통제변수'!$B$10-'00_통제변수'!$B$9)*(A8-1)/MAX(1,'00_통제변수'!$B$6-1))</f>
        <v>1176.1285793706481</v>
      </c>
    </row>
    <row r="9" spans="1:14">
      <c r="A9" s="20">
        <v>6</v>
      </c>
      <c r="B9" s="20">
        <v>2027</v>
      </c>
      <c r="C9" s="20">
        <v>6</v>
      </c>
      <c r="D9" s="21">
        <f>'00_통제변수'!$C$16*(1+'00_통제변수'!$C$17)^(A9-1)</f>
        <v>11.702985037462501</v>
      </c>
      <c r="E9" s="22">
        <f t="shared" si="3"/>
        <v>477.10597754496246</v>
      </c>
      <c r="F9" s="23">
        <f>'00_통제변수'!$C$18+('00_통제변수'!$C$19-'00_통제변수'!$C$18)*MIN(1,MAX(0,(A9-'00_통제변수'!$C$20+1)/MAX(1,'00_통제변수'!$C$21)))</f>
        <v>0.105</v>
      </c>
      <c r="G9" s="22">
        <f t="shared" si="4"/>
        <v>48.867314213287493</v>
      </c>
      <c r="H9" s="22">
        <f t="shared" si="0"/>
        <v>60.570299250749997</v>
      </c>
      <c r="I9" s="24">
        <f>'00_통제변수'!$C$22+('00_통제변수'!$C$23-'00_통제변수'!$C$22)*MIN(1,MAX(0,(A9-'00_통제변수'!$C$24+1)/MAX(1,'00_통제변수'!$C$25)))</f>
        <v>1.2889999999999999</v>
      </c>
      <c r="J9" s="22">
        <f t="shared" si="1"/>
        <v>78.075115734216737</v>
      </c>
      <c r="K9" s="25">
        <f>IF(A9&gt;='00_통제변수'!$C$28,'00_통제변수'!$C$27,'00_통제변수'!$C$26)</f>
        <v>31846</v>
      </c>
      <c r="L9" s="26">
        <f t="shared" si="2"/>
        <v>248.63801356718662</v>
      </c>
      <c r="M9" s="26">
        <f>L9/(1-'00_통제변수'!$B$8)*'00_통제변수'!$B$11</f>
        <v>265.07250913346121</v>
      </c>
      <c r="N9" s="26">
        <f>E9*('00_통제변수'!$B$9+('00_통제변수'!$B$10-'00_통제변수'!$B$9)*(A9-1)/MAX(1,'00_통제변수'!$B$6-1))</f>
        <v>1199.3959082960819</v>
      </c>
    </row>
    <row r="10" spans="1:14">
      <c r="A10" s="20">
        <v>7</v>
      </c>
      <c r="B10" s="20">
        <v>2027</v>
      </c>
      <c r="C10" s="20">
        <v>7</v>
      </c>
      <c r="D10" s="21">
        <f>'00_통제변수'!$C$16*(1+'00_통제변수'!$C$17)^(A10-1)</f>
        <v>11.644470112275188</v>
      </c>
      <c r="E10" s="22">
        <f t="shared" si="3"/>
        <v>488.75044765723766</v>
      </c>
      <c r="F10" s="23">
        <f>'00_통제변수'!$C$18+('00_통제변수'!$C$19-'00_통제변수'!$C$18)*MIN(1,MAX(0,(A10-'00_통제변수'!$C$20+1)/MAX(1,'00_통제변수'!$C$21)))</f>
        <v>0.105</v>
      </c>
      <c r="G10" s="22">
        <f t="shared" si="4"/>
        <v>50.096127642221056</v>
      </c>
      <c r="H10" s="22">
        <f t="shared" si="0"/>
        <v>61.740597754496243</v>
      </c>
      <c r="I10" s="24">
        <f>'00_통제변수'!$C$22+('00_통제변수'!$C$23-'00_통제변수'!$C$22)*MIN(1,MAX(0,(A10-'00_통제변수'!$C$24+1)/MAX(1,'00_통제변수'!$C$25)))</f>
        <v>1.2889999999999999</v>
      </c>
      <c r="J10" s="22">
        <f t="shared" si="1"/>
        <v>79.583630505545656</v>
      </c>
      <c r="K10" s="25">
        <f>IF(A10&gt;='00_통제변수'!$C$28,'00_통제변수'!$C$27,'00_통제변수'!$C$26)</f>
        <v>31846</v>
      </c>
      <c r="L10" s="26">
        <f t="shared" si="2"/>
        <v>253.4420297079607</v>
      </c>
      <c r="M10" s="26">
        <f>L10/(1-'00_통제변수'!$B$8)*'00_통제변수'!$B$11</f>
        <v>270.1940615223462</v>
      </c>
      <c r="N10" s="26">
        <f>E10*('00_통제변수'!$B$9+('00_통제변수'!$B$10-'00_통제변수'!$B$9)*(A10-1)/MAX(1,'00_통제변수'!$B$6-1))</f>
        <v>1222.207475378794</v>
      </c>
    </row>
    <row r="11" spans="1:14">
      <c r="A11" s="20">
        <v>8</v>
      </c>
      <c r="B11" s="20">
        <v>2027</v>
      </c>
      <c r="C11" s="20">
        <v>8</v>
      </c>
      <c r="D11" s="21">
        <f>'00_통제변수'!$C$16*(1+'00_통제변수'!$C$17)^(A11-1)</f>
        <v>11.586247761713812</v>
      </c>
      <c r="E11" s="22">
        <f t="shared" si="3"/>
        <v>500.33669541895148</v>
      </c>
      <c r="F11" s="23">
        <f>'00_통제변수'!$C$18+('00_통제변수'!$C$19-'00_통제변수'!$C$18)*MIN(1,MAX(0,(A11-'00_통제변수'!$C$20+1)/MAX(1,'00_통제변수'!$C$21)))</f>
        <v>0.105</v>
      </c>
      <c r="G11" s="22">
        <f t="shared" si="4"/>
        <v>51.318797004009951</v>
      </c>
      <c r="H11" s="22">
        <f t="shared" si="0"/>
        <v>62.905044765723765</v>
      </c>
      <c r="I11" s="24">
        <f>'00_통제변수'!$C$22+('00_통제변수'!$C$23-'00_통제변수'!$C$22)*MIN(1,MAX(0,(A11-'00_통제변수'!$C$24+1)/MAX(1,'00_통제변수'!$C$25)))</f>
        <v>1.2889999999999999</v>
      </c>
      <c r="J11" s="22">
        <f t="shared" si="1"/>
        <v>81.084602703017936</v>
      </c>
      <c r="K11" s="25">
        <f>IF(A11&gt;='00_통제변수'!$C$28,'00_통제변수'!$C$27,'00_통제변수'!$C$26)</f>
        <v>31846</v>
      </c>
      <c r="L11" s="26">
        <f t="shared" si="2"/>
        <v>258.2220257680309</v>
      </c>
      <c r="M11" s="26">
        <f>L11/(1-'00_통제변수'!$B$8)*'00_통제변수'!$B$11</f>
        <v>275.29000614928668</v>
      </c>
      <c r="N11" s="26">
        <f>E11*('00_통제변수'!$B$9+('00_통제변수'!$B$10-'00_통제변수'!$B$9)*(A11-1)/MAX(1,'00_통제변수'!$B$6-1))</f>
        <v>1244.5663291472088</v>
      </c>
    </row>
    <row r="12" spans="1:14">
      <c r="A12" s="20">
        <v>9</v>
      </c>
      <c r="B12" s="20">
        <v>2027</v>
      </c>
      <c r="C12" s="20">
        <v>9</v>
      </c>
      <c r="D12" s="21">
        <f>'00_통제변수'!$C$16*(1+'00_통제변수'!$C$17)^(A12-1)</f>
        <v>11.528316522905243</v>
      </c>
      <c r="E12" s="22">
        <f t="shared" si="3"/>
        <v>511.86501194185672</v>
      </c>
      <c r="F12" s="23">
        <f>'00_통제변수'!$C$18+('00_통제변수'!$C$19-'00_통제변수'!$C$18)*MIN(1,MAX(0,(A12-'00_통제변수'!$C$20+1)/MAX(1,'00_통제변수'!$C$21)))</f>
        <v>0.105</v>
      </c>
      <c r="G12" s="22">
        <f t="shared" si="4"/>
        <v>52.535353018989902</v>
      </c>
      <c r="H12" s="22">
        <f t="shared" si="0"/>
        <v>64.063669541895138</v>
      </c>
      <c r="I12" s="24">
        <f>'00_통제변수'!$C$22+('00_통제변수'!$C$23-'00_통제변수'!$C$22)*MIN(1,MAX(0,(A12-'00_통제변수'!$C$24+1)/MAX(1,'00_통제변수'!$C$25)))</f>
        <v>1.2889999999999999</v>
      </c>
      <c r="J12" s="22">
        <f t="shared" si="1"/>
        <v>82.578070039502833</v>
      </c>
      <c r="K12" s="25">
        <f>IF(A12&gt;='00_통제변수'!$C$28,'00_통제변수'!$C$27,'00_통제변수'!$C$26)</f>
        <v>31846</v>
      </c>
      <c r="L12" s="26">
        <f t="shared" si="2"/>
        <v>262.97812184780071</v>
      </c>
      <c r="M12" s="26">
        <f>L12/(1-'00_통제변수'!$B$8)*'00_통제변수'!$B$11</f>
        <v>280.36047105309245</v>
      </c>
      <c r="N12" s="26">
        <f>E12*('00_통제변수'!$B$9+('00_통제변수'!$B$10-'00_통제변수'!$B$9)*(A12-1)/MAX(1,'00_통제변수'!$B$6-1))</f>
        <v>1266.4754990385127</v>
      </c>
    </row>
    <row r="13" spans="1:14">
      <c r="A13" s="20">
        <v>10</v>
      </c>
      <c r="B13" s="20">
        <v>2027</v>
      </c>
      <c r="C13" s="20">
        <v>10</v>
      </c>
      <c r="D13" s="21">
        <f>'00_통제변수'!$C$16*(1+'00_통제변수'!$C$17)^(A13-1)</f>
        <v>11.470674940290717</v>
      </c>
      <c r="E13" s="22">
        <f t="shared" si="3"/>
        <v>523.33568688214746</v>
      </c>
      <c r="F13" s="23">
        <f>'00_통제변수'!$C$18+('00_통제변수'!$C$19-'00_통제변수'!$C$18)*MIN(1,MAX(0,(A13-'00_통제변수'!$C$20+1)/MAX(1,'00_통제변수'!$C$21)))</f>
        <v>0.105</v>
      </c>
      <c r="G13" s="22">
        <f t="shared" si="4"/>
        <v>53.745826253894954</v>
      </c>
      <c r="H13" s="22">
        <f t="shared" si="0"/>
        <v>65.216501194185668</v>
      </c>
      <c r="I13" s="24">
        <f>'00_통제변수'!$C$22+('00_통제변수'!$C$23-'00_통제변수'!$C$22)*MIN(1,MAX(0,(A13-'00_통제변수'!$C$24+1)/MAX(1,'00_통제변수'!$C$25)))</f>
        <v>1.2889999999999999</v>
      </c>
      <c r="J13" s="22">
        <f t="shared" si="1"/>
        <v>84.064070039305321</v>
      </c>
      <c r="K13" s="25">
        <f>IF(A13&gt;='00_통제변수'!$C$28,'00_통제변수'!$C$27,'00_통제변수'!$C$26)</f>
        <v>31846</v>
      </c>
      <c r="L13" s="26">
        <f t="shared" si="2"/>
        <v>267.71043744717173</v>
      </c>
      <c r="M13" s="26">
        <f>L13/(1-'00_통제변수'!$B$8)*'00_통제변수'!$B$11</f>
        <v>285.40558363237926</v>
      </c>
      <c r="N13" s="26">
        <f>E13*('00_통제변수'!$B$9+('00_통제변수'!$B$10-'00_통제변수'!$B$9)*(A13-1)/MAX(1,'00_통제변수'!$B$6-1))</f>
        <v>1287.9379955133527</v>
      </c>
    </row>
    <row r="14" spans="1:14">
      <c r="A14" s="20">
        <v>11</v>
      </c>
      <c r="B14" s="20">
        <v>2027</v>
      </c>
      <c r="C14" s="20">
        <v>11</v>
      </c>
      <c r="D14" s="21">
        <f>'00_통제변수'!$C$16*(1+'00_통제변수'!$C$17)^(A14-1)</f>
        <v>11.413321565589264</v>
      </c>
      <c r="E14" s="22">
        <f t="shared" si="3"/>
        <v>534.74900844773674</v>
      </c>
      <c r="F14" s="23">
        <f>'00_통제변수'!$C$18+('00_통제변수'!$C$19-'00_통제변수'!$C$18)*MIN(1,MAX(0,(A14-'00_통제변수'!$C$20+1)/MAX(1,'00_통제변수'!$C$21)))</f>
        <v>0.105</v>
      </c>
      <c r="G14" s="22">
        <f t="shared" si="4"/>
        <v>54.950247122625484</v>
      </c>
      <c r="H14" s="22">
        <f t="shared" si="0"/>
        <v>66.363568688214741</v>
      </c>
      <c r="I14" s="24">
        <f>'00_통제변수'!$C$22+('00_통제변수'!$C$23-'00_통제변수'!$C$22)*MIN(1,MAX(0,(A14-'00_통제변수'!$C$24+1)/MAX(1,'00_통제변수'!$C$25)))</f>
        <v>1.2889999999999999</v>
      </c>
      <c r="J14" s="22">
        <f t="shared" si="1"/>
        <v>85.54264003910879</v>
      </c>
      <c r="K14" s="25">
        <f>IF(A14&gt;='00_통제변수'!$C$28,'00_통제변수'!$C$27,'00_통제변수'!$C$26)</f>
        <v>31846</v>
      </c>
      <c r="L14" s="26">
        <f t="shared" si="2"/>
        <v>272.41909146854584</v>
      </c>
      <c r="M14" s="26">
        <f>L14/(1-'00_통제변수'!$B$8)*'00_통제변수'!$B$11</f>
        <v>290.42547064876959</v>
      </c>
      <c r="N14" s="26">
        <f>E14*('00_통제변수'!$B$9+('00_통제변수'!$B$10-'00_통제변수'!$B$9)*(A14-1)/MAX(1,'00_통제변수'!$B$6-1))</f>
        <v>1308.9568101698669</v>
      </c>
    </row>
    <row r="15" spans="1:14">
      <c r="A15" s="27">
        <v>12</v>
      </c>
      <c r="B15" s="27">
        <v>2027</v>
      </c>
      <c r="C15" s="27">
        <v>12</v>
      </c>
      <c r="D15" s="28">
        <f>'00_통제변수'!$C$16*(1+'00_통제변수'!$C$17)^(A15-1)</f>
        <v>11.356254957761317</v>
      </c>
      <c r="E15" s="29">
        <f t="shared" si="3"/>
        <v>546.10526340549802</v>
      </c>
      <c r="F15" s="30">
        <f>'00_통제변수'!$C$18+('00_통제변수'!$C$19-'00_통제변수'!$C$18)*MIN(1,MAX(0,(A15-'00_통제변수'!$C$20+1)/MAX(1,'00_통제변수'!$C$21)))</f>
        <v>0.105</v>
      </c>
      <c r="G15" s="29">
        <f t="shared" si="4"/>
        <v>56.148645887012357</v>
      </c>
      <c r="H15" s="29">
        <f t="shared" si="0"/>
        <v>67.504900844773672</v>
      </c>
      <c r="I15" s="31">
        <f>'00_통제변수'!$C$22+('00_통제변수'!$C$23-'00_통제변수'!$C$22)*MIN(1,MAX(0,(A15-'00_통제변수'!$C$24+1)/MAX(1,'00_통제변수'!$C$25)))</f>
        <v>1.2889999999999999</v>
      </c>
      <c r="J15" s="29">
        <f t="shared" si="1"/>
        <v>87.013817188913265</v>
      </c>
      <c r="K15" s="32">
        <f>IF(A15&gt;='00_통제변수'!$C$28,'00_통제변수'!$C$27,'00_통제변수'!$C$26)</f>
        <v>31846</v>
      </c>
      <c r="L15" s="33">
        <f t="shared" si="2"/>
        <v>277.1042022198132</v>
      </c>
      <c r="M15" s="33">
        <f>L15/(1-'00_통제변수'!$B$8)*'00_통제변수'!$B$11</f>
        <v>295.42025823007805</v>
      </c>
      <c r="N15" s="33">
        <f>E15*('00_통제변수'!$B$9+('00_통제변수'!$B$10-'00_통제변수'!$B$9)*(A15-1)/MAX(1,'00_통제변수'!$B$6-1))</f>
        <v>1329.5349158570464</v>
      </c>
    </row>
    <row r="16" spans="1:14">
      <c r="A16" s="20">
        <v>13</v>
      </c>
      <c r="B16" s="20">
        <v>2028</v>
      </c>
      <c r="C16" s="20">
        <v>1</v>
      </c>
      <c r="D16" s="21">
        <f>'00_통제변수'!$C$16*(1+'00_통제변수'!$C$17)^(A16-1)</f>
        <v>11.299473682972511</v>
      </c>
      <c r="E16" s="22">
        <f t="shared" si="3"/>
        <v>557.40473708847048</v>
      </c>
      <c r="F16" s="23">
        <f>'00_통제변수'!$C$18+('00_통제변수'!$C$19-'00_통제변수'!$C$18)*MIN(1,MAX(0,(A16-'00_통제변수'!$C$20+1)/MAX(1,'00_통제변수'!$C$21)))</f>
        <v>0.105</v>
      </c>
      <c r="G16" s="22">
        <f t="shared" si="4"/>
        <v>57.341052657577293</v>
      </c>
      <c r="H16" s="22">
        <f t="shared" si="0"/>
        <v>68.640526340549798</v>
      </c>
      <c r="I16" s="24">
        <f>'00_통제변수'!$C$22+('00_통제변수'!$C$23-'00_통제변수'!$C$22)*MIN(1,MAX(0,(A16-'00_통제변수'!$C$24+1)/MAX(1,'00_통제변수'!$C$25)))</f>
        <v>1.2889999999999999</v>
      </c>
      <c r="J16" s="22">
        <f t="shared" si="1"/>
        <v>88.477638452968691</v>
      </c>
      <c r="K16" s="25">
        <f>IF(A16&gt;='00_통제변수'!$C$28,'00_통제변수'!$C$27,'00_통제변수'!$C$26)</f>
        <v>31846</v>
      </c>
      <c r="L16" s="26">
        <f t="shared" si="2"/>
        <v>281.76588741732405</v>
      </c>
      <c r="M16" s="26">
        <f>L16/(1-'00_통제변수'!$B$8)*'00_통제변수'!$B$11</f>
        <v>300.39007187347983</v>
      </c>
      <c r="N16" s="26">
        <f>E16*('00_통제변수'!$B$9+('00_통제변수'!$B$10-'00_통제변수'!$B$9)*(A16-1)/MAX(1,'00_통제변수'!$B$6-1))</f>
        <v>1349.6752667874389</v>
      </c>
    </row>
    <row r="17" spans="1:14">
      <c r="A17" s="20">
        <v>14</v>
      </c>
      <c r="B17" s="20">
        <v>2028</v>
      </c>
      <c r="C17" s="20">
        <v>2</v>
      </c>
      <c r="D17" s="21">
        <f>'00_통제변수'!$C$16*(1+'00_통제변수'!$C$17)^(A17-1)</f>
        <v>11.24297631455765</v>
      </c>
      <c r="E17" s="22">
        <f t="shared" si="3"/>
        <v>568.64771340302809</v>
      </c>
      <c r="F17" s="23">
        <f>'00_통제변수'!$C$18+('00_통제변수'!$C$19-'00_통제변수'!$C$18)*MIN(1,MAX(0,(A17-'00_통제변수'!$C$20+1)/MAX(1,'00_통제변수'!$C$21)))</f>
        <v>0.105</v>
      </c>
      <c r="G17" s="22">
        <f t="shared" si="4"/>
        <v>58.527497394289398</v>
      </c>
      <c r="H17" s="22">
        <f t="shared" si="0"/>
        <v>69.770473708847049</v>
      </c>
      <c r="I17" s="24">
        <f>'00_통제변수'!$C$22+('00_통제변수'!$C$23-'00_통제변수'!$C$22)*MIN(1,MAX(0,(A17-'00_통제변수'!$C$24+1)/MAX(1,'00_통제변수'!$C$25)))</f>
        <v>1.2889999999999999</v>
      </c>
      <c r="J17" s="22">
        <f t="shared" si="1"/>
        <v>89.934140610703835</v>
      </c>
      <c r="K17" s="25">
        <f>IF(A17&gt;='00_통제변수'!$C$28,'00_통제변수'!$C$27,'00_통제변수'!$C$26)</f>
        <v>31846</v>
      </c>
      <c r="L17" s="26">
        <f t="shared" si="2"/>
        <v>286.40426418884743</v>
      </c>
      <c r="M17" s="26">
        <f>L17/(1-'00_통제변수'!$B$8)*'00_통제변수'!$B$11</f>
        <v>305.33503644866465</v>
      </c>
      <c r="N17" s="26">
        <f>E17*('00_통제변수'!$B$9+('00_통제변수'!$B$10-'00_통제변수'!$B$9)*(A17-1)/MAX(1,'00_통제변수'!$B$6-1))</f>
        <v>1369.3807986491904</v>
      </c>
    </row>
    <row r="18" spans="1:14">
      <c r="A18" s="20">
        <v>15</v>
      </c>
      <c r="B18" s="20">
        <v>2028</v>
      </c>
      <c r="C18" s="20">
        <v>3</v>
      </c>
      <c r="D18" s="21">
        <f>'00_통제변수'!$C$16*(1+'00_통제변수'!$C$17)^(A18-1)</f>
        <v>11.186761432984861</v>
      </c>
      <c r="E18" s="22">
        <f t="shared" si="3"/>
        <v>579.83447483601299</v>
      </c>
      <c r="F18" s="23">
        <f>'00_통제변수'!$C$18+('00_통제변수'!$C$19-'00_통제변수'!$C$18)*MIN(1,MAX(0,(A18-'00_통제변수'!$C$20+1)/MAX(1,'00_통제변수'!$C$21)))</f>
        <v>0.105</v>
      </c>
      <c r="G18" s="22">
        <f t="shared" si="4"/>
        <v>59.708009907317944</v>
      </c>
      <c r="H18" s="22">
        <f t="shared" si="0"/>
        <v>70.89477134030281</v>
      </c>
      <c r="I18" s="24">
        <f>'00_통제변수'!$C$22+('00_통제변수'!$C$23-'00_통제변수'!$C$22)*MIN(1,MAX(0,(A18-'00_통제변수'!$C$24+1)/MAX(1,'00_통제변수'!$C$25)))</f>
        <v>1.2889999999999999</v>
      </c>
      <c r="J18" s="22">
        <f t="shared" si="1"/>
        <v>91.383360257650324</v>
      </c>
      <c r="K18" s="25">
        <f>IF(A18&gt;='00_통제변수'!$C$28,'00_통제변수'!$C$27,'00_통제변수'!$C$26)</f>
        <v>31846</v>
      </c>
      <c r="L18" s="26">
        <f t="shared" si="2"/>
        <v>291.01944907651318</v>
      </c>
      <c r="M18" s="26">
        <f>L18/(1-'00_통제변수'!$B$8)*'00_통제변수'!$B$11</f>
        <v>310.25527620097358</v>
      </c>
      <c r="N18" s="26">
        <f>E18*('00_통제변수'!$B$9+('00_통제변수'!$B$10-'00_통제변수'!$B$9)*(A18-1)/MAX(1,'00_통제변수'!$B$6-1))</f>
        <v>1388.6544287174345</v>
      </c>
    </row>
    <row r="19" spans="1:14">
      <c r="A19" s="20">
        <v>16</v>
      </c>
      <c r="B19" s="20">
        <v>2028</v>
      </c>
      <c r="C19" s="20">
        <v>4</v>
      </c>
      <c r="D19" s="21">
        <f>'00_통제변수'!$C$16*(1+'00_통제변수'!$C$17)^(A19-1)</f>
        <v>11.130827625819936</v>
      </c>
      <c r="E19" s="22">
        <f t="shared" si="3"/>
        <v>590.96530246183295</v>
      </c>
      <c r="F19" s="23">
        <f>'00_통제변수'!$C$18+('00_통제변수'!$C$19-'00_통제변수'!$C$18)*MIN(1,MAX(0,(A19-'00_통제변수'!$C$20+1)/MAX(1,'00_통제변수'!$C$21)))</f>
        <v>0.105</v>
      </c>
      <c r="G19" s="22">
        <f t="shared" si="4"/>
        <v>60.882619857781364</v>
      </c>
      <c r="H19" s="22">
        <f t="shared" si="0"/>
        <v>72.013447483601297</v>
      </c>
      <c r="I19" s="24">
        <f>'00_통제변수'!$C$22+('00_통제변수'!$C$23-'00_통제변수'!$C$22)*MIN(1,MAX(0,(A19-'00_통제변수'!$C$24+1)/MAX(1,'00_통제변수'!$C$25)))</f>
        <v>1.2889999999999999</v>
      </c>
      <c r="J19" s="22">
        <f t="shared" si="1"/>
        <v>92.825333806362067</v>
      </c>
      <c r="K19" s="25">
        <f>IF(A19&gt;='00_통제변수'!$C$28,'00_통제변수'!$C$27,'00_통제변수'!$C$26)</f>
        <v>31846</v>
      </c>
      <c r="L19" s="26">
        <f t="shared" si="2"/>
        <v>295.61155803974066</v>
      </c>
      <c r="M19" s="26">
        <f>L19/(1-'00_통제변수'!$B$8)*'00_통제변수'!$B$11</f>
        <v>315.15091475452095</v>
      </c>
      <c r="N19" s="26">
        <f>E19*('00_통제변수'!$B$9+('00_통제변수'!$B$10-'00_통제변수'!$B$9)*(A19-1)/MAX(1,'00_통제변수'!$B$6-1))</f>
        <v>1407.4990559650298</v>
      </c>
    </row>
    <row r="20" spans="1:14">
      <c r="A20" s="20">
        <v>17</v>
      </c>
      <c r="B20" s="20">
        <v>2028</v>
      </c>
      <c r="C20" s="20">
        <v>5</v>
      </c>
      <c r="D20" s="21">
        <f>'00_통제변수'!$C$16*(1+'00_통제변수'!$C$17)^(A20-1)</f>
        <v>11.075173487690837</v>
      </c>
      <c r="E20" s="22">
        <f t="shared" si="3"/>
        <v>602.04047594952374</v>
      </c>
      <c r="F20" s="23">
        <f>'00_통제변수'!$C$18+('00_통제변수'!$C$19-'00_통제변수'!$C$18)*MIN(1,MAX(0,(A20-'00_통제변수'!$C$20+1)/MAX(1,'00_통제변수'!$C$21)))</f>
        <v>0.105</v>
      </c>
      <c r="G20" s="22">
        <f t="shared" si="4"/>
        <v>62.05135675849246</v>
      </c>
      <c r="H20" s="22">
        <f t="shared" si="0"/>
        <v>73.126530246183293</v>
      </c>
      <c r="I20" s="24">
        <f>'00_통제변수'!$C$22+('00_통제변수'!$C$23-'00_통제변수'!$C$22)*MIN(1,MAX(0,(A20-'00_통제변수'!$C$24+1)/MAX(1,'00_통제변수'!$C$25)))</f>
        <v>1.2889999999999999</v>
      </c>
      <c r="J20" s="22">
        <f t="shared" si="1"/>
        <v>94.260097487330256</v>
      </c>
      <c r="K20" s="25">
        <f>IF(A20&gt;='00_통제변수'!$C$28,'00_통제변수'!$C$27,'00_통제변수'!$C$26)</f>
        <v>31846</v>
      </c>
      <c r="L20" s="26">
        <f t="shared" si="2"/>
        <v>300.18070645815197</v>
      </c>
      <c r="M20" s="26">
        <f>L20/(1-'00_통제변수'!$B$8)*'00_통제변수'!$B$11</f>
        <v>320.02207511530065</v>
      </c>
      <c r="N20" s="26">
        <f>E20*('00_통제변수'!$B$9+('00_통제변수'!$B$10-'00_통제변수'!$B$9)*(A20-1)/MAX(1,'00_통제변수'!$B$6-1))</f>
        <v>1425.9175611726516</v>
      </c>
    </row>
    <row r="21" spans="1:14">
      <c r="A21" s="20">
        <v>18</v>
      </c>
      <c r="B21" s="20">
        <v>2028</v>
      </c>
      <c r="C21" s="20">
        <v>6</v>
      </c>
      <c r="D21" s="21">
        <f>'00_통제변수'!$C$16*(1+'00_통제변수'!$C$17)^(A21-1)</f>
        <v>11.019797620252383</v>
      </c>
      <c r="E21" s="22">
        <f t="shared" si="3"/>
        <v>613.06027356977609</v>
      </c>
      <c r="F21" s="23">
        <f>'00_통제변수'!$C$18+('00_통제변수'!$C$19-'00_통제변수'!$C$18)*MIN(1,MAX(0,(A21-'00_통제변수'!$C$20+1)/MAX(1,'00_통제변수'!$C$21)))</f>
        <v>0.105</v>
      </c>
      <c r="G21" s="22">
        <f t="shared" si="4"/>
        <v>63.214249974699989</v>
      </c>
      <c r="H21" s="22">
        <f t="shared" si="0"/>
        <v>74.234047594952372</v>
      </c>
      <c r="I21" s="24">
        <f>'00_통제변수'!$C$22+('00_통제변수'!$C$23-'00_통제변수'!$C$22)*MIN(1,MAX(0,(A21-'00_통제변수'!$C$24+1)/MAX(1,'00_통제변수'!$C$25)))</f>
        <v>1.2889999999999999</v>
      </c>
      <c r="J21" s="22">
        <f t="shared" si="1"/>
        <v>95.687687349893608</v>
      </c>
      <c r="K21" s="25">
        <f>IF(A21&gt;='00_통제변수'!$C$28,'00_통제변수'!$C$27,'00_통제변수'!$C$26)</f>
        <v>31846</v>
      </c>
      <c r="L21" s="26">
        <f t="shared" si="2"/>
        <v>304.72700913447119</v>
      </c>
      <c r="M21" s="26">
        <f>L21/(1-'00_통제변수'!$B$8)*'00_통제변수'!$B$11</f>
        <v>324.86887967427634</v>
      </c>
      <c r="N21" s="26">
        <f>E21*('00_통제변수'!$B$9+('00_통제변수'!$B$10-'00_통제변수'!$B$9)*(A21-1)/MAX(1,'00_통제변수'!$B$6-1))</f>
        <v>1443.9128070382387</v>
      </c>
    </row>
    <row r="22" spans="1:14">
      <c r="A22" s="20">
        <v>19</v>
      </c>
      <c r="B22" s="20">
        <v>2028</v>
      </c>
      <c r="C22" s="20">
        <v>7</v>
      </c>
      <c r="D22" s="21">
        <f>'00_통제변수'!$C$16*(1+'00_통제변수'!$C$17)^(A22-1)</f>
        <v>10.964698632151121</v>
      </c>
      <c r="E22" s="22">
        <f t="shared" si="3"/>
        <v>624.0249722019272</v>
      </c>
      <c r="F22" s="23">
        <f>'00_통제변수'!$C$18+('00_통제변수'!$C$19-'00_통제변수'!$C$18)*MIN(1,MAX(0,(A22-'00_통제변수'!$C$20+1)/MAX(1,'00_통제변수'!$C$21)))</f>
        <v>0.105</v>
      </c>
      <c r="G22" s="22">
        <f t="shared" si="4"/>
        <v>64.371328724826483</v>
      </c>
      <c r="H22" s="22">
        <f t="shared" si="0"/>
        <v>75.33602735697761</v>
      </c>
      <c r="I22" s="24">
        <f>'00_통제변수'!$C$22+('00_통제변수'!$C$23-'00_통제변수'!$C$22)*MIN(1,MAX(0,(A22-'00_통제변수'!$C$24+1)/MAX(1,'00_통제변수'!$C$25)))</f>
        <v>1.2889999999999999</v>
      </c>
      <c r="J22" s="22">
        <f t="shared" si="1"/>
        <v>97.108139263144139</v>
      </c>
      <c r="K22" s="25">
        <f>IF(A22&gt;='00_통제변수'!$C$28,'00_통제변수'!$C$27,'00_통제변수'!$C$26)</f>
        <v>31846</v>
      </c>
      <c r="L22" s="26">
        <f t="shared" si="2"/>
        <v>309.25058029740882</v>
      </c>
      <c r="M22" s="26">
        <f>L22/(1-'00_통제변수'!$B$8)*'00_통제변수'!$B$11</f>
        <v>329.69145021045716</v>
      </c>
      <c r="N22" s="26">
        <f>E22*('00_통제변수'!$B$9+('00_통제변수'!$B$10-'00_통제변수'!$B$9)*(A22-1)/MAX(1,'00_통제변수'!$B$6-1))</f>
        <v>1461.4876382858017</v>
      </c>
    </row>
    <row r="23" spans="1:14">
      <c r="A23" s="20">
        <v>20</v>
      </c>
      <c r="B23" s="20">
        <v>2028</v>
      </c>
      <c r="C23" s="20">
        <v>8</v>
      </c>
      <c r="D23" s="21">
        <f>'00_통제변수'!$C$16*(1+'00_통제변수'!$C$17)^(A23-1)</f>
        <v>10.909875138990365</v>
      </c>
      <c r="E23" s="22">
        <f t="shared" si="3"/>
        <v>634.9348473409176</v>
      </c>
      <c r="F23" s="23">
        <f>'00_통제변수'!$C$18+('00_통제변수'!$C$19-'00_통제변수'!$C$18)*MIN(1,MAX(0,(A23-'00_통제변수'!$C$20+1)/MAX(1,'00_통제변수'!$C$21)))</f>
        <v>0.105</v>
      </c>
      <c r="G23" s="22">
        <f t="shared" si="4"/>
        <v>65.522622081202357</v>
      </c>
      <c r="H23" s="22">
        <f t="shared" si="0"/>
        <v>76.432497220192715</v>
      </c>
      <c r="I23" s="24">
        <f>'00_통제변수'!$C$22+('00_통제변수'!$C$23-'00_통제변수'!$C$22)*MIN(1,MAX(0,(A23-'00_통제변수'!$C$24+1)/MAX(1,'00_통제변수'!$C$25)))</f>
        <v>1.2889999999999999</v>
      </c>
      <c r="J23" s="22">
        <f t="shared" si="1"/>
        <v>98.521488916828403</v>
      </c>
      <c r="K23" s="25">
        <f>IF(A23&gt;='00_통제변수'!$C$28,'00_통제변수'!$C$27,'00_통제변수'!$C$26)</f>
        <v>31846</v>
      </c>
      <c r="L23" s="26">
        <f t="shared" si="2"/>
        <v>313.75153360453174</v>
      </c>
      <c r="M23" s="26">
        <f>L23/(1-'00_통제변수'!$B$8)*'00_통제변수'!$B$11</f>
        <v>334.48990789395708</v>
      </c>
      <c r="N23" s="26">
        <f>E23*('00_통제변수'!$B$9+('00_통제변수'!$B$10-'00_통제변수'!$B$9)*(A23-1)/MAX(1,'00_통제변수'!$B$6-1))</f>
        <v>1478.6448817735945</v>
      </c>
    </row>
    <row r="24" spans="1:14">
      <c r="A24" s="20">
        <v>21</v>
      </c>
      <c r="B24" s="20">
        <v>2028</v>
      </c>
      <c r="C24" s="20">
        <v>9</v>
      </c>
      <c r="D24" s="21">
        <f>'00_통제변수'!$C$16*(1+'00_통제변수'!$C$17)^(A24-1)</f>
        <v>10.855325763295413</v>
      </c>
      <c r="E24" s="22">
        <f t="shared" si="3"/>
        <v>645.79017310421307</v>
      </c>
      <c r="F24" s="23">
        <f>'00_통제변수'!$C$18+('00_통제변수'!$C$19-'00_통제변수'!$C$18)*MIN(1,MAX(0,(A24-'00_통제변수'!$C$20+1)/MAX(1,'00_통제변수'!$C$21)))</f>
        <v>0.105</v>
      </c>
      <c r="G24" s="22">
        <f t="shared" si="4"/>
        <v>66.668158970796341</v>
      </c>
      <c r="H24" s="22">
        <f t="shared" si="0"/>
        <v>77.523484734091753</v>
      </c>
      <c r="I24" s="24">
        <f>'00_통제변수'!$C$22+('00_통제변수'!$C$23-'00_통제변수'!$C$22)*MIN(1,MAX(0,(A24-'00_통제변수'!$C$24+1)/MAX(1,'00_통제변수'!$C$25)))</f>
        <v>1.2889999999999999</v>
      </c>
      <c r="J24" s="22">
        <f t="shared" si="1"/>
        <v>99.927771822244267</v>
      </c>
      <c r="K24" s="25">
        <f>IF(A24&gt;='00_통제변수'!$C$28,'00_통제변수'!$C$27,'00_통제변수'!$C$26)</f>
        <v>31846</v>
      </c>
      <c r="L24" s="26">
        <f t="shared" si="2"/>
        <v>318.2299821451191</v>
      </c>
      <c r="M24" s="26">
        <f>L24/(1-'00_통제변수'!$B$8)*'00_통제변수'!$B$11</f>
        <v>339.26437328903955</v>
      </c>
      <c r="N24" s="26">
        <f>E24*('00_통제변수'!$B$9+('00_통제변수'!$B$10-'00_통제변수'!$B$9)*(A24-1)/MAX(1,'00_통제변수'!$B$6-1))</f>
        <v>1495.3873466016541</v>
      </c>
    </row>
    <row r="25" spans="1:14">
      <c r="A25" s="20">
        <v>22</v>
      </c>
      <c r="B25" s="20">
        <v>2028</v>
      </c>
      <c r="C25" s="20">
        <v>10</v>
      </c>
      <c r="D25" s="21">
        <f>'00_통제변수'!$C$16*(1+'00_통제변수'!$C$17)^(A25-1)</f>
        <v>10.801049134478937</v>
      </c>
      <c r="E25" s="22">
        <f t="shared" si="3"/>
        <v>656.59122223869201</v>
      </c>
      <c r="F25" s="23">
        <f>'00_통제변수'!$C$18+('00_통제변수'!$C$19-'00_통제변수'!$C$18)*MIN(1,MAX(0,(A25-'00_통제변수'!$C$20+1)/MAX(1,'00_통제변수'!$C$21)))</f>
        <v>0.105</v>
      </c>
      <c r="G25" s="22">
        <f t="shared" si="4"/>
        <v>67.807968175942364</v>
      </c>
      <c r="H25" s="22">
        <f t="shared" si="0"/>
        <v>78.609017310421308</v>
      </c>
      <c r="I25" s="24">
        <f>'00_통제변수'!$C$22+('00_통제변수'!$C$23-'00_통제변수'!$C$22)*MIN(1,MAX(0,(A25-'00_통제변수'!$C$24+1)/MAX(1,'00_통제변수'!$C$25)))</f>
        <v>1.2889999999999999</v>
      </c>
      <c r="J25" s="22">
        <f t="shared" si="1"/>
        <v>101.32702331313305</v>
      </c>
      <c r="K25" s="25">
        <f>IF(A25&gt;='00_통제변수'!$C$28,'00_통제변수'!$C$27,'00_통제변수'!$C$26)</f>
        <v>31846</v>
      </c>
      <c r="L25" s="26">
        <f t="shared" si="2"/>
        <v>322.6860384430035</v>
      </c>
      <c r="M25" s="26">
        <f>L25/(1-'00_통제변수'!$B$8)*'00_통제변수'!$B$11</f>
        <v>344.01496635714659</v>
      </c>
      <c r="N25" s="26">
        <f>E25*('00_통제변수'!$B$9+('00_통제변수'!$B$10-'00_통제변수'!$B$9)*(A25-1)/MAX(1,'00_통제변수'!$B$6-1))</f>
        <v>1511.7178242187106</v>
      </c>
    </row>
    <row r="26" spans="1:14">
      <c r="A26" s="20">
        <v>23</v>
      </c>
      <c r="B26" s="20">
        <v>2028</v>
      </c>
      <c r="C26" s="20">
        <v>11</v>
      </c>
      <c r="D26" s="21">
        <f>'00_통제변수'!$C$16*(1+'00_통제변수'!$C$17)^(A26-1)</f>
        <v>10.747043888806541</v>
      </c>
      <c r="E26" s="22">
        <f t="shared" si="3"/>
        <v>667.33826612749851</v>
      </c>
      <c r="F26" s="23">
        <f>'00_통제변수'!$C$18+('00_통제변수'!$C$19-'00_통제변수'!$C$18)*MIN(1,MAX(0,(A26-'00_통제변수'!$C$20+1)/MAX(1,'00_통제변수'!$C$21)))</f>
        <v>0.105</v>
      </c>
      <c r="G26" s="22">
        <f t="shared" si="4"/>
        <v>68.942078335062661</v>
      </c>
      <c r="H26" s="22">
        <f t="shared" si="0"/>
        <v>79.689122223869205</v>
      </c>
      <c r="I26" s="24">
        <f>'00_통제변수'!$C$22+('00_통제변수'!$C$23-'00_통제변수'!$C$22)*MIN(1,MAX(0,(A26-'00_통제변수'!$C$24+1)/MAX(1,'00_통제변수'!$C$25)))</f>
        <v>1.2889999999999999</v>
      </c>
      <c r="J26" s="22">
        <f t="shared" si="1"/>
        <v>102.71927854656739</v>
      </c>
      <c r="K26" s="25">
        <f>IF(A26&gt;='00_통제변수'!$C$28,'00_통제변수'!$C$27,'00_통제변수'!$C$26)</f>
        <v>31846</v>
      </c>
      <c r="L26" s="26">
        <f t="shared" si="2"/>
        <v>327.11981445939853</v>
      </c>
      <c r="M26" s="26">
        <f>L26/(1-'00_통제변수'!$B$8)*'00_통제변수'!$B$11</f>
        <v>348.74180645991316</v>
      </c>
      <c r="N26" s="26">
        <f>E26*('00_통제변수'!$B$9+('00_통제변수'!$B$10-'00_통제변수'!$B$9)*(A26-1)/MAX(1,'00_통제변수'!$B$6-1))</f>
        <v>1527.6390885284736</v>
      </c>
    </row>
    <row r="27" spans="1:14">
      <c r="A27" s="27">
        <v>24</v>
      </c>
      <c r="B27" s="27">
        <v>2028</v>
      </c>
      <c r="C27" s="27">
        <v>12</v>
      </c>
      <c r="D27" s="28">
        <f>'00_통제변수'!$C$16*(1+'00_통제변수'!$C$17)^(A27-1)</f>
        <v>10.693308669362509</v>
      </c>
      <c r="E27" s="29">
        <f t="shared" si="3"/>
        <v>678.03157479686104</v>
      </c>
      <c r="F27" s="30">
        <f>'00_통제변수'!$C$18+('00_통제변수'!$C$19-'00_통제변수'!$C$18)*MIN(1,MAX(0,(A27-'00_통제변수'!$C$20+1)/MAX(1,'00_통제변수'!$C$21)))</f>
        <v>0.105</v>
      </c>
      <c r="G27" s="29">
        <f t="shared" si="4"/>
        <v>70.070517943387344</v>
      </c>
      <c r="H27" s="29">
        <f t="shared" si="0"/>
        <v>80.763826612749853</v>
      </c>
      <c r="I27" s="31">
        <f>'00_통제변수'!$C$22+('00_통제변수'!$C$23-'00_통제변수'!$C$22)*MIN(1,MAX(0,(A27-'00_통제변수'!$C$24+1)/MAX(1,'00_통제변수'!$C$25)))</f>
        <v>1.2889999999999999</v>
      </c>
      <c r="J27" s="29">
        <f t="shared" si="1"/>
        <v>104.10457250383456</v>
      </c>
      <c r="K27" s="32">
        <f>IF(A27&gt;='00_통제변수'!$C$28,'00_통제변수'!$C$27,'00_통제변수'!$C$26)</f>
        <v>31846</v>
      </c>
      <c r="L27" s="33">
        <f t="shared" si="2"/>
        <v>331.53142159571155</v>
      </c>
      <c r="M27" s="33">
        <f>L27/(1-'00_통제변수'!$B$8)*'00_통제변수'!$B$11</f>
        <v>353.44501236216587</v>
      </c>
      <c r="N27" s="33">
        <f>E27*('00_통제변수'!$B$9+('00_통제변수'!$B$10-'00_통제변수'!$B$9)*(A27-1)/MAX(1,'00_통제변수'!$B$6-1))</f>
        <v>1543.1538959952966</v>
      </c>
    </row>
    <row r="28" spans="1:14">
      <c r="A28" s="20">
        <v>25</v>
      </c>
      <c r="B28" s="20">
        <v>2029</v>
      </c>
      <c r="C28" s="20">
        <v>1</v>
      </c>
      <c r="D28" s="21">
        <f>'00_통제변수'!$C$16*(1+'00_통제변수'!$C$17)^(A28-1)</f>
        <v>10.639842126015697</v>
      </c>
      <c r="E28" s="22">
        <f t="shared" si="3"/>
        <v>688.67141692287669</v>
      </c>
      <c r="F28" s="23">
        <f>'00_통제변수'!$C$18+('00_통제변수'!$C$19-'00_통제변수'!$C$18)*MIN(1,MAX(0,(A28-'00_통제변수'!$C$20+1)/MAX(1,'00_통제변수'!$C$21)))</f>
        <v>0.105</v>
      </c>
      <c r="G28" s="22">
        <f t="shared" si="4"/>
        <v>71.1933153536704</v>
      </c>
      <c r="H28" s="22">
        <f t="shared" si="0"/>
        <v>81.833157479686093</v>
      </c>
      <c r="I28" s="24">
        <f>'00_통제변수'!$C$22+('00_통제변수'!$C$23-'00_통제변수'!$C$22)*MIN(1,MAX(0,(A28-'00_통제변수'!$C$24+1)/MAX(1,'00_통제변수'!$C$25)))</f>
        <v>1.2889999999999999</v>
      </c>
      <c r="J28" s="22">
        <f t="shared" si="1"/>
        <v>105.48293999131536</v>
      </c>
      <c r="K28" s="25">
        <f>IF(A28&gt;='00_통제변수'!$C$28,'00_통제변수'!$C$27,'00_통제변수'!$C$26)</f>
        <v>31846</v>
      </c>
      <c r="L28" s="26">
        <f t="shared" si="2"/>
        <v>335.92097069634292</v>
      </c>
      <c r="M28" s="26">
        <f>L28/(1-'00_통제변수'!$B$8)*'00_통제변수'!$B$11</f>
        <v>358.1247022349072</v>
      </c>
      <c r="N28" s="26">
        <f>E28*('00_통제변수'!$B$9+('00_통제변수'!$B$10-'00_통제변수'!$B$9)*(A28-1)/MAX(1,'00_통제변수'!$B$6-1))</f>
        <v>1558.2649857492211</v>
      </c>
    </row>
    <row r="29" spans="1:14">
      <c r="A29" s="20">
        <v>26</v>
      </c>
      <c r="B29" s="20">
        <v>2029</v>
      </c>
      <c r="C29" s="20">
        <v>2</v>
      </c>
      <c r="D29" s="21">
        <f>'00_통제변수'!$C$16*(1+'00_통제변수'!$C$17)^(A29-1)</f>
        <v>10.586642915385617</v>
      </c>
      <c r="E29" s="22">
        <f t="shared" si="3"/>
        <v>699.25805983826228</v>
      </c>
      <c r="F29" s="23">
        <f>'00_통제변수'!$C$18+('00_통제변수'!$C$19-'00_통제변수'!$C$18)*MIN(1,MAX(0,(A29-'00_통제변수'!$C$20+1)/MAX(1,'00_통제변수'!$C$21)))</f>
        <v>0.105</v>
      </c>
      <c r="G29" s="22">
        <f t="shared" si="4"/>
        <v>72.310498776902051</v>
      </c>
      <c r="H29" s="22">
        <f t="shared" si="0"/>
        <v>82.897141692287676</v>
      </c>
      <c r="I29" s="24">
        <f>'00_통제변수'!$C$22+('00_통제변수'!$C$23-'00_통제변수'!$C$22)*MIN(1,MAX(0,(A29-'00_통제변수'!$C$24+1)/MAX(1,'00_통제변수'!$C$25)))</f>
        <v>1.2889999999999999</v>
      </c>
      <c r="J29" s="22">
        <f t="shared" si="1"/>
        <v>106.85441564135881</v>
      </c>
      <c r="K29" s="25">
        <f>IF(A29&gt;='00_통제변수'!$C$28,'00_통제변수'!$C$27,'00_통제변수'!$C$26)</f>
        <v>31846</v>
      </c>
      <c r="L29" s="26">
        <f t="shared" si="2"/>
        <v>340.28857205147131</v>
      </c>
      <c r="M29" s="26">
        <f>L29/(1-'00_통제변수'!$B$8)*'00_통제변수'!$B$11</f>
        <v>362.78099365828501</v>
      </c>
      <c r="N29" s="26">
        <f>E29*('00_통제변수'!$B$9+('00_통제변수'!$B$10-'00_통제변수'!$B$9)*(A29-1)/MAX(1,'00_통제변수'!$B$6-1))</f>
        <v>1572.9750796904098</v>
      </c>
    </row>
    <row r="30" spans="1:14">
      <c r="A30" s="20">
        <v>27</v>
      </c>
      <c r="B30" s="20">
        <v>2029</v>
      </c>
      <c r="C30" s="20">
        <v>3</v>
      </c>
      <c r="D30" s="21">
        <f>'00_통제변수'!$C$16*(1+'00_통제변수'!$C$17)^(A30-1)</f>
        <v>10.533709700808691</v>
      </c>
      <c r="E30" s="22">
        <f t="shared" si="3"/>
        <v>709.79176953907097</v>
      </c>
      <c r="F30" s="23">
        <f>'00_통제변수'!$C$18+('00_통제변수'!$C$19-'00_통제변수'!$C$18)*MIN(1,MAX(0,(A30-'00_통제변수'!$C$20+1)/MAX(1,'00_통제변수'!$C$21)))</f>
        <v>0.105</v>
      </c>
      <c r="G30" s="22">
        <f t="shared" si="4"/>
        <v>73.422096283017538</v>
      </c>
      <c r="H30" s="22">
        <f t="shared" si="0"/>
        <v>83.955805983826224</v>
      </c>
      <c r="I30" s="24">
        <f>'00_통제변수'!$C$22+('00_통제변수'!$C$23-'00_통제변수'!$C$22)*MIN(1,MAX(0,(A30-'00_통제변수'!$C$24+1)/MAX(1,'00_통제변수'!$C$25)))</f>
        <v>1.2889999999999999</v>
      </c>
      <c r="J30" s="22">
        <f t="shared" si="1"/>
        <v>108.21903391315199</v>
      </c>
      <c r="K30" s="25">
        <f>IF(A30&gt;='00_통제변수'!$C$28,'00_통제변수'!$C$27,'00_통제변수'!$C$26)</f>
        <v>31846</v>
      </c>
      <c r="L30" s="26">
        <f t="shared" si="2"/>
        <v>344.63433539982384</v>
      </c>
      <c r="M30" s="26">
        <f>L30/(1-'00_통제변수'!$B$8)*'00_통제변수'!$B$11</f>
        <v>367.41400362454567</v>
      </c>
      <c r="N30" s="26">
        <f>E30*('00_통제변수'!$B$9+('00_통제변수'!$B$10-'00_통제변수'!$B$9)*(A30-1)/MAX(1,'00_통제변수'!$B$6-1))</f>
        <v>1587.2868825929665</v>
      </c>
    </row>
    <row r="31" spans="1:14">
      <c r="A31" s="20">
        <v>28</v>
      </c>
      <c r="B31" s="20">
        <v>2029</v>
      </c>
      <c r="C31" s="20">
        <v>4</v>
      </c>
      <c r="D31" s="21">
        <f>'00_통제변수'!$C$16*(1+'00_통제변수'!$C$17)^(A31-1)</f>
        <v>10.481041152304647</v>
      </c>
      <c r="E31" s="22">
        <f t="shared" si="3"/>
        <v>720.27281069137564</v>
      </c>
      <c r="F31" s="23">
        <f>'00_통제변수'!$C$18+('00_통제변수'!$C$19-'00_통제변수'!$C$18)*MIN(1,MAX(0,(A31-'00_통제변수'!$C$20+1)/MAX(1,'00_통제변수'!$C$21)))</f>
        <v>0.105</v>
      </c>
      <c r="G31" s="22">
        <f t="shared" si="4"/>
        <v>74.528135801602446</v>
      </c>
      <c r="H31" s="22">
        <f t="shared" si="0"/>
        <v>85.009176953907087</v>
      </c>
      <c r="I31" s="24">
        <f>'00_통제변수'!$C$22+('00_통제변수'!$C$23-'00_통제변수'!$C$22)*MIN(1,MAX(0,(A31-'00_통제변수'!$C$24+1)/MAX(1,'00_통제변수'!$C$25)))</f>
        <v>1.2889999999999999</v>
      </c>
      <c r="J31" s="22">
        <f t="shared" si="1"/>
        <v>109.57682909358623</v>
      </c>
      <c r="K31" s="25">
        <f>IF(A31&gt;='00_통제변수'!$C$28,'00_통제변수'!$C$27,'00_통제변수'!$C$26)</f>
        <v>31846</v>
      </c>
      <c r="L31" s="26">
        <f t="shared" si="2"/>
        <v>348.95836993143467</v>
      </c>
      <c r="M31" s="26">
        <f>L31/(1-'00_통제변수'!$B$8)*'00_통제변수'!$B$11</f>
        <v>372.02384854097517</v>
      </c>
      <c r="N31" s="26">
        <f>E31*('00_통제변수'!$B$9+('00_통제변수'!$B$10-'00_통제변수'!$B$9)*(A31-1)/MAX(1,'00_통제변수'!$B$6-1))</f>
        <v>1601.2030822081499</v>
      </c>
    </row>
    <row r="32" spans="1:14">
      <c r="A32" s="20">
        <v>29</v>
      </c>
      <c r="B32" s="20">
        <v>2029</v>
      </c>
      <c r="C32" s="20">
        <v>5</v>
      </c>
      <c r="D32" s="21">
        <f>'00_통제변수'!$C$16*(1+'00_통제변수'!$C$17)^(A32-1)</f>
        <v>10.428635946543125</v>
      </c>
      <c r="E32" s="22">
        <f t="shared" si="3"/>
        <v>730.70144663791871</v>
      </c>
      <c r="F32" s="23">
        <f>'00_통제변수'!$C$18+('00_통제변수'!$C$19-'00_통제변수'!$C$18)*MIN(1,MAX(0,(A32-'00_통제변수'!$C$20+1)/MAX(1,'00_통제변수'!$C$21)))</f>
        <v>0.105</v>
      </c>
      <c r="G32" s="22">
        <f t="shared" si="4"/>
        <v>75.628645122594435</v>
      </c>
      <c r="H32" s="22">
        <f t="shared" si="0"/>
        <v>86.057281069137559</v>
      </c>
      <c r="I32" s="24">
        <f>'00_통제변수'!$C$22+('00_통제변수'!$C$23-'00_통제변수'!$C$22)*MIN(1,MAX(0,(A32-'00_통제변수'!$C$24+1)/MAX(1,'00_통제변수'!$C$25)))</f>
        <v>1.2889999999999999</v>
      </c>
      <c r="J32" s="22">
        <f t="shared" si="1"/>
        <v>110.92783529811831</v>
      </c>
      <c r="K32" s="25">
        <f>IF(A32&gt;='00_통제변수'!$C$28,'00_통제변수'!$C$27,'00_통제변수'!$C$26)</f>
        <v>31846</v>
      </c>
      <c r="L32" s="26">
        <f t="shared" si="2"/>
        <v>353.26078429038756</v>
      </c>
      <c r="M32" s="26">
        <f>L32/(1-'00_통제변수'!$B$8)*'00_통제변수'!$B$11</f>
        <v>376.61064423282261</v>
      </c>
      <c r="N32" s="26">
        <f>E32*('00_통제변수'!$B$9+('00_통제변수'!$B$10-'00_통제변수'!$B$9)*(A32-1)/MAX(1,'00_통제변수'!$B$6-1))</f>
        <v>1614.7263493669805</v>
      </c>
    </row>
    <row r="33" spans="1:14">
      <c r="A33" s="20">
        <v>30</v>
      </c>
      <c r="B33" s="20">
        <v>2029</v>
      </c>
      <c r="C33" s="20">
        <v>6</v>
      </c>
      <c r="D33" s="21">
        <f>'00_통제변수'!$C$16*(1+'00_통제변수'!$C$17)^(A33-1)</f>
        <v>10.37649276681041</v>
      </c>
      <c r="E33" s="22">
        <f t="shared" si="3"/>
        <v>741.07793940472914</v>
      </c>
      <c r="F33" s="23">
        <f>'00_통제변수'!$C$18+('00_통제변수'!$C$19-'00_통제변수'!$C$18)*MIN(1,MAX(0,(A33-'00_통제변수'!$C$20+1)/MAX(1,'00_통제변수'!$C$21)))</f>
        <v>0.105</v>
      </c>
      <c r="G33" s="22">
        <f t="shared" si="4"/>
        <v>76.723651896981465</v>
      </c>
      <c r="H33" s="22">
        <f t="shared" si="0"/>
        <v>87.10014466379188</v>
      </c>
      <c r="I33" s="24">
        <f>'00_통제변수'!$C$22+('00_통제변수'!$C$23-'00_통제변수'!$C$22)*MIN(1,MAX(0,(A33-'00_통제변수'!$C$24+1)/MAX(1,'00_통제변수'!$C$25)))</f>
        <v>1.2889999999999999</v>
      </c>
      <c r="J33" s="22">
        <f t="shared" si="1"/>
        <v>112.27208647162773</v>
      </c>
      <c r="K33" s="25">
        <f>IF(A33&gt;='00_통제변수'!$C$28,'00_통제변수'!$C$27,'00_통제변수'!$C$26)</f>
        <v>31846</v>
      </c>
      <c r="L33" s="26">
        <f t="shared" si="2"/>
        <v>357.54168657754565</v>
      </c>
      <c r="M33" s="26">
        <f>L33/(1-'00_통제변수'!$B$8)*'00_통제변수'!$B$11</f>
        <v>381.17450594621073</v>
      </c>
      <c r="N33" s="26">
        <f>E33*('00_통제변수'!$B$9+('00_통제변수'!$B$10-'00_통제변수'!$B$9)*(A33-1)/MAX(1,'00_통제변수'!$B$6-1))</f>
        <v>1627.8593380822524</v>
      </c>
    </row>
    <row r="34" spans="1:14">
      <c r="A34" s="20">
        <v>31</v>
      </c>
      <c r="B34" s="20">
        <v>2029</v>
      </c>
      <c r="C34" s="20">
        <v>7</v>
      </c>
      <c r="D34" s="21">
        <f>'00_통제변수'!$C$16*(1+'00_통제변수'!$C$17)^(A34-1)</f>
        <v>10.324610302976357</v>
      </c>
      <c r="E34" s="22">
        <f t="shared" si="3"/>
        <v>751.40254970770548</v>
      </c>
      <c r="F34" s="23">
        <f>'00_통제변수'!$C$18+('00_통제변수'!$C$19-'00_통제변수'!$C$18)*MIN(1,MAX(0,(A34-'00_통제변수'!$C$20+1)/MAX(1,'00_통제변수'!$C$21)))</f>
        <v>0.105</v>
      </c>
      <c r="G34" s="22">
        <f t="shared" si="4"/>
        <v>77.81318363749655</v>
      </c>
      <c r="H34" s="22">
        <f t="shared" si="0"/>
        <v>88.137793940472903</v>
      </c>
      <c r="I34" s="24">
        <f>'00_통제변수'!$C$22+('00_통제변수'!$C$23-'00_통제변수'!$C$22)*MIN(1,MAX(0,(A34-'00_통제변수'!$C$24+1)/MAX(1,'00_통제변수'!$C$25)))</f>
        <v>1.2889999999999999</v>
      </c>
      <c r="J34" s="22">
        <f t="shared" si="1"/>
        <v>113.60961638926956</v>
      </c>
      <c r="K34" s="25">
        <f>IF(A34&gt;='00_통제변수'!$C$28,'00_통제변수'!$C$27,'00_통제변수'!$C$26)</f>
        <v>31846</v>
      </c>
      <c r="L34" s="26">
        <f t="shared" si="2"/>
        <v>361.80118435326784</v>
      </c>
      <c r="M34" s="26">
        <f>L34/(1-'00_통제변수'!$B$8)*'00_통제변수'!$B$11</f>
        <v>385.71554835103183</v>
      </c>
      <c r="N34" s="26">
        <f>E34*('00_통제변수'!$B$9+('00_통제변수'!$B$10-'00_통제변수'!$B$9)*(A34-1)/MAX(1,'00_통제변수'!$B$6-1))</f>
        <v>1640.6046856499427</v>
      </c>
    </row>
    <row r="35" spans="1:14">
      <c r="A35" s="20">
        <v>32</v>
      </c>
      <c r="B35" s="20">
        <v>2029</v>
      </c>
      <c r="C35" s="20">
        <v>8</v>
      </c>
      <c r="D35" s="21">
        <f>'00_통제변수'!$C$16*(1+'00_통제변수'!$C$17)^(A35-1)</f>
        <v>10.272987251461474</v>
      </c>
      <c r="E35" s="22">
        <f t="shared" si="3"/>
        <v>761.67553695916695</v>
      </c>
      <c r="F35" s="23">
        <f>'00_통제변수'!$C$18+('00_통제변수'!$C$19-'00_통제변수'!$C$18)*MIN(1,MAX(0,(A35-'00_통제변수'!$C$20+1)/MAX(1,'00_통제변수'!$C$21)))</f>
        <v>0.105</v>
      </c>
      <c r="G35" s="22">
        <f t="shared" si="4"/>
        <v>78.89726771930907</v>
      </c>
      <c r="H35" s="22">
        <f t="shared" si="0"/>
        <v>89.170254970770543</v>
      </c>
      <c r="I35" s="24">
        <f>'00_통제변수'!$C$22+('00_통제변수'!$C$23-'00_통제변수'!$C$22)*MIN(1,MAX(0,(A35-'00_통제변수'!$C$24+1)/MAX(1,'00_통제변수'!$C$25)))</f>
        <v>1.2889999999999999</v>
      </c>
      <c r="J35" s="22">
        <f t="shared" si="1"/>
        <v>114.94045865732322</v>
      </c>
      <c r="K35" s="25">
        <f>IF(A35&gt;='00_통제변수'!$C$28,'00_통제변수'!$C$27,'00_통제변수'!$C$26)</f>
        <v>31846</v>
      </c>
      <c r="L35" s="26">
        <f t="shared" si="2"/>
        <v>366.03938464011156</v>
      </c>
      <c r="M35" s="26">
        <f>L35/(1-'00_통제변수'!$B$8)*'00_통제변수'!$B$11</f>
        <v>390.23388554382899</v>
      </c>
      <c r="N35" s="26">
        <f>E35*('00_통제변수'!$B$9+('00_통제변수'!$B$10-'00_통제변수'!$B$9)*(A35-1)/MAX(1,'00_통제변수'!$B$6-1))</f>
        <v>1652.9650127500295</v>
      </c>
    </row>
    <row r="36" spans="1:14">
      <c r="A36" s="20">
        <v>33</v>
      </c>
      <c r="B36" s="20">
        <v>2029</v>
      </c>
      <c r="C36" s="20">
        <v>9</v>
      </c>
      <c r="D36" s="21">
        <f>'00_통제변수'!$C$16*(1+'00_통제변수'!$C$17)^(A36-1)</f>
        <v>10.221622315204167</v>
      </c>
      <c r="E36" s="22">
        <f t="shared" si="3"/>
        <v>771.89715927437112</v>
      </c>
      <c r="F36" s="23">
        <f>'00_통제변수'!$C$18+('00_통제변수'!$C$19-'00_통제변수'!$C$18)*MIN(1,MAX(0,(A36-'00_통제변수'!$C$20+1)/MAX(1,'00_통제변수'!$C$21)))</f>
        <v>0.105</v>
      </c>
      <c r="G36" s="22">
        <f t="shared" si="4"/>
        <v>79.975931380712524</v>
      </c>
      <c r="H36" s="22">
        <f t="shared" ref="H36:H63" si="5">D36+G36</f>
        <v>90.197553695916696</v>
      </c>
      <c r="I36" s="24">
        <f>'00_통제변수'!$C$22+('00_통제변수'!$C$23-'00_통제변수'!$C$22)*MIN(1,MAX(0,(A36-'00_통제변수'!$C$24+1)/MAX(1,'00_통제변수'!$C$25)))</f>
        <v>1.2889999999999999</v>
      </c>
      <c r="J36" s="22">
        <f t="shared" ref="J36:J63" si="6">H36*I36</f>
        <v>116.26464671403662</v>
      </c>
      <c r="K36" s="25">
        <f>IF(A36&gt;='00_통제변수'!$C$28,'00_통제변수'!$C$27,'00_통제변수'!$C$26)</f>
        <v>31846</v>
      </c>
      <c r="L36" s="26">
        <f t="shared" ref="L36:L63" si="7">J36*K36/10000</f>
        <v>370.25639392552102</v>
      </c>
      <c r="M36" s="26">
        <f>L36/(1-'00_통제변수'!$B$8)*'00_통제변수'!$B$11</f>
        <v>394.72963105066208</v>
      </c>
      <c r="N36" s="26">
        <f>E36*('00_통제변수'!$B$9+('00_통제변수'!$B$10-'00_통제변수'!$B$9)*(A36-1)/MAX(1,'00_통제변수'!$B$6-1))</f>
        <v>1664.9429235467198</v>
      </c>
    </row>
    <row r="37" spans="1:14">
      <c r="A37" s="20">
        <v>34</v>
      </c>
      <c r="B37" s="20">
        <v>2029</v>
      </c>
      <c r="C37" s="20">
        <v>10</v>
      </c>
      <c r="D37" s="21">
        <f>'00_통제변수'!$C$16*(1+'00_통제변수'!$C$17)^(A37-1)</f>
        <v>10.170514203628146</v>
      </c>
      <c r="E37" s="22">
        <f t="shared" ref="E37:E63" si="8">E36+D37</f>
        <v>782.06767347799928</v>
      </c>
      <c r="F37" s="23">
        <f>'00_통제변수'!$C$18+('00_통제변수'!$C$19-'00_통제변수'!$C$18)*MIN(1,MAX(0,(A37-'00_통제변수'!$C$20+1)/MAX(1,'00_통제변수'!$C$21)))</f>
        <v>0.105</v>
      </c>
      <c r="G37" s="22">
        <f t="shared" ref="G37:G63" si="9">E36*F37</f>
        <v>81.049201723808963</v>
      </c>
      <c r="H37" s="22">
        <f t="shared" si="5"/>
        <v>91.219715927437107</v>
      </c>
      <c r="I37" s="24">
        <f>'00_통제변수'!$C$22+('00_통제변수'!$C$23-'00_통제변수'!$C$22)*MIN(1,MAX(0,(A37-'00_통제변수'!$C$24+1)/MAX(1,'00_통제변수'!$C$25)))</f>
        <v>1.2889999999999999</v>
      </c>
      <c r="J37" s="22">
        <f t="shared" si="6"/>
        <v>117.58221383046643</v>
      </c>
      <c r="K37" s="25">
        <f>IF(A37&gt;='00_통제변수'!$C$28,'00_통제변수'!$C$27,'00_통제변수'!$C$26)</f>
        <v>31846</v>
      </c>
      <c r="L37" s="26">
        <f t="shared" si="7"/>
        <v>374.45231816450337</v>
      </c>
      <c r="M37" s="26">
        <f>L37/(1-'00_통제변수'!$B$8)*'00_통제변수'!$B$11</f>
        <v>399.20289782996099</v>
      </c>
      <c r="N37" s="26">
        <f>E37*('00_통제변수'!$B$9+('00_통제변수'!$B$10-'00_통제변수'!$B$9)*(A37-1)/MAX(1,'00_통제변수'!$B$6-1))</f>
        <v>1676.5410057880906</v>
      </c>
    </row>
    <row r="38" spans="1:14">
      <c r="A38" s="20">
        <v>35</v>
      </c>
      <c r="B38" s="20">
        <v>2029</v>
      </c>
      <c r="C38" s="20">
        <v>11</v>
      </c>
      <c r="D38" s="21">
        <f>'00_통제변수'!$C$16*(1+'00_통제변수'!$C$17)^(A38-1)</f>
        <v>10.119661632610006</v>
      </c>
      <c r="E38" s="22">
        <f t="shared" si="8"/>
        <v>792.1873351106093</v>
      </c>
      <c r="F38" s="23">
        <f>'00_통제변수'!$C$18+('00_통제변수'!$C$19-'00_통제변수'!$C$18)*MIN(1,MAX(0,(A38-'00_통제변수'!$C$20+1)/MAX(1,'00_통제변수'!$C$21)))</f>
        <v>0.105</v>
      </c>
      <c r="G38" s="22">
        <f t="shared" si="9"/>
        <v>82.117105715189922</v>
      </c>
      <c r="H38" s="22">
        <f t="shared" si="5"/>
        <v>92.236767347799926</v>
      </c>
      <c r="I38" s="24">
        <f>'00_통제변수'!$C$22+('00_통제변수'!$C$23-'00_통제변수'!$C$22)*MIN(1,MAX(0,(A38-'00_통제변수'!$C$24+1)/MAX(1,'00_통제변수'!$C$25)))</f>
        <v>1.2889999999999999</v>
      </c>
      <c r="J38" s="22">
        <f t="shared" si="6"/>
        <v>118.8931931113141</v>
      </c>
      <c r="K38" s="25">
        <f>IF(A38&gt;='00_통제변수'!$C$28,'00_통제변수'!$C$27,'00_통제변수'!$C$26)</f>
        <v>31846</v>
      </c>
      <c r="L38" s="26">
        <f t="shared" si="7"/>
        <v>378.62726278229093</v>
      </c>
      <c r="M38" s="26">
        <f>L38/(1-'00_통제변수'!$B$8)*'00_통제변수'!$B$11</f>
        <v>403.6537982753635</v>
      </c>
      <c r="N38" s="26">
        <f>E38*('00_통제변수'!$B$9+('00_통제변수'!$B$10-'00_통제변수'!$B$9)*(A38-1)/MAX(1,'00_통제변수'!$B$6-1))</f>
        <v>1687.7618309051459</v>
      </c>
    </row>
    <row r="39" spans="1:14">
      <c r="A39" s="27">
        <v>36</v>
      </c>
      <c r="B39" s="27">
        <v>2029</v>
      </c>
      <c r="C39" s="27">
        <v>12</v>
      </c>
      <c r="D39" s="28">
        <f>'00_통제변수'!$C$16*(1+'00_통제변수'!$C$17)^(A39-1)</f>
        <v>10.069063324446956</v>
      </c>
      <c r="E39" s="29">
        <f t="shared" si="8"/>
        <v>802.25639843505621</v>
      </c>
      <c r="F39" s="30">
        <f>'00_통제변수'!$C$18+('00_통제변수'!$C$19-'00_통제변수'!$C$18)*MIN(1,MAX(0,(A39-'00_통제변수'!$C$20+1)/MAX(1,'00_통제변수'!$C$21)))</f>
        <v>0.105</v>
      </c>
      <c r="G39" s="29">
        <f t="shared" si="9"/>
        <v>83.179670186613976</v>
      </c>
      <c r="H39" s="29">
        <f t="shared" si="5"/>
        <v>93.248733511060934</v>
      </c>
      <c r="I39" s="31">
        <f>'00_통제변수'!$C$22+('00_통제변수'!$C$23-'00_통제변수'!$C$22)*MIN(1,MAX(0,(A39-'00_통제변수'!$C$24+1)/MAX(1,'00_통제변수'!$C$25)))</f>
        <v>1.2889999999999999</v>
      </c>
      <c r="J39" s="29">
        <f t="shared" si="6"/>
        <v>120.19761749575754</v>
      </c>
      <c r="K39" s="32">
        <f>IF(A39&gt;='00_통제변수'!$C$28,'00_통제변수'!$C$27,'00_통제변수'!$C$26)</f>
        <v>31846</v>
      </c>
      <c r="L39" s="33">
        <f t="shared" si="7"/>
        <v>382.78133267698945</v>
      </c>
      <c r="M39" s="33">
        <f>L39/(1-'00_통제변수'!$B$8)*'00_통제변수'!$B$11</f>
        <v>408.08244421853891</v>
      </c>
      <c r="N39" s="33">
        <f>E39*('00_통제변수'!$B$9+('00_통제변수'!$B$10-'00_통제변수'!$B$9)*(A39-1)/MAX(1,'00_통제변수'!$B$6-1))</f>
        <v>1698.607954110292</v>
      </c>
    </row>
    <row r="40" spans="1:14">
      <c r="A40" s="20">
        <v>37</v>
      </c>
      <c r="B40" s="20">
        <v>2030</v>
      </c>
      <c r="C40" s="20">
        <v>1</v>
      </c>
      <c r="D40" s="21">
        <f>'00_통제변수'!$C$16*(1+'00_통제변수'!$C$17)^(A40-1)</f>
        <v>10.01871800782472</v>
      </c>
      <c r="E40" s="22">
        <f t="shared" si="8"/>
        <v>812.27511644288097</v>
      </c>
      <c r="F40" s="23">
        <f>'00_통제변수'!$C$18+('00_통제변수'!$C$19-'00_통제변수'!$C$18)*MIN(1,MAX(0,(A40-'00_통제변수'!$C$20+1)/MAX(1,'00_통제변수'!$C$21)))</f>
        <v>0.105</v>
      </c>
      <c r="G40" s="22">
        <f t="shared" si="9"/>
        <v>84.236921835680903</v>
      </c>
      <c r="H40" s="22">
        <f t="shared" si="5"/>
        <v>94.25563984350562</v>
      </c>
      <c r="I40" s="24">
        <f>'00_통제변수'!$C$22+('00_통제변수'!$C$23-'00_통제변수'!$C$22)*MIN(1,MAX(0,(A40-'00_통제변수'!$C$24+1)/MAX(1,'00_통제변수'!$C$25)))</f>
        <v>1.2889999999999999</v>
      </c>
      <c r="J40" s="22">
        <f t="shared" si="6"/>
        <v>121.49551975827873</v>
      </c>
      <c r="K40" s="25">
        <f>IF(A40&gt;='00_통제변수'!$C$28,'00_통제변수'!$C$27,'00_통제변수'!$C$26)</f>
        <v>31846</v>
      </c>
      <c r="L40" s="26">
        <f t="shared" si="7"/>
        <v>386.91463222221444</v>
      </c>
      <c r="M40" s="26">
        <f>L40/(1-'00_통제변수'!$B$8)*'00_통제변수'!$B$11</f>
        <v>412.48894693199838</v>
      </c>
      <c r="N40" s="26">
        <f>E40*('00_통제변수'!$B$9+('00_통제변수'!$B$10-'00_통제변수'!$B$9)*(A40-1)/MAX(1,'00_통제변수'!$B$6-1))</f>
        <v>1709.0819144952413</v>
      </c>
    </row>
    <row r="41" spans="1:14">
      <c r="A41" s="20">
        <v>38</v>
      </c>
      <c r="B41" s="20">
        <v>2030</v>
      </c>
      <c r="C41" s="20">
        <v>2</v>
      </c>
      <c r="D41" s="21">
        <f>'00_통제변수'!$C$16*(1+'00_통제변수'!$C$17)^(A41-1)</f>
        <v>9.9686244177855983</v>
      </c>
      <c r="E41" s="22">
        <f t="shared" si="8"/>
        <v>822.24374086066655</v>
      </c>
      <c r="F41" s="23">
        <f>'00_통제변수'!$C$18+('00_통제변수'!$C$19-'00_통제변수'!$C$18)*MIN(1,MAX(0,(A41-'00_통제변수'!$C$20+1)/MAX(1,'00_통제변수'!$C$21)))</f>
        <v>0.105</v>
      </c>
      <c r="G41" s="22">
        <f t="shared" si="9"/>
        <v>85.288887226502496</v>
      </c>
      <c r="H41" s="22">
        <f t="shared" si="5"/>
        <v>95.257511644288087</v>
      </c>
      <c r="I41" s="24">
        <f>'00_통제변수'!$C$22+('00_통제변수'!$C$23-'00_통제변수'!$C$22)*MIN(1,MAX(0,(A41-'00_통제변수'!$C$24+1)/MAX(1,'00_통제변수'!$C$25)))</f>
        <v>1.2889999999999999</v>
      </c>
      <c r="J41" s="22">
        <f t="shared" si="6"/>
        <v>122.78693250948734</v>
      </c>
      <c r="K41" s="25">
        <f>IF(A41&gt;='00_통제변수'!$C$28,'00_통제변수'!$C$27,'00_통제변수'!$C$26)</f>
        <v>31846</v>
      </c>
      <c r="L41" s="26">
        <f t="shared" si="7"/>
        <v>391.02726526971338</v>
      </c>
      <c r="M41" s="26">
        <f>L41/(1-'00_통제변수'!$B$8)*'00_통제변수'!$B$11</f>
        <v>416.87341713189062</v>
      </c>
      <c r="N41" s="26">
        <f>E41*('00_통제변수'!$B$9+('00_통제변수'!$B$10-'00_통제변수'!$B$9)*(A41-1)/MAX(1,'00_통제변수'!$B$6-1))</f>
        <v>1719.186235128336</v>
      </c>
    </row>
    <row r="42" spans="1:14">
      <c r="A42" s="20">
        <v>39</v>
      </c>
      <c r="B42" s="20">
        <v>2030</v>
      </c>
      <c r="C42" s="20">
        <v>3</v>
      </c>
      <c r="D42" s="21">
        <f>'00_통제변수'!$C$16*(1+'00_통제변수'!$C$17)^(A42-1)</f>
        <v>9.9187812956966699</v>
      </c>
      <c r="E42" s="22">
        <f t="shared" si="8"/>
        <v>832.16252215636325</v>
      </c>
      <c r="F42" s="23">
        <f>'00_통제변수'!$C$18+('00_통제변수'!$C$19-'00_통제변수'!$C$18)*MIN(1,MAX(0,(A42-'00_통제변수'!$C$20+1)/MAX(1,'00_통제변수'!$C$21)))</f>
        <v>0.105</v>
      </c>
      <c r="G42" s="22">
        <f t="shared" si="9"/>
        <v>86.335592790369986</v>
      </c>
      <c r="H42" s="22">
        <f t="shared" si="5"/>
        <v>96.254374086066662</v>
      </c>
      <c r="I42" s="24">
        <f>'00_통제변수'!$C$22+('00_통제변수'!$C$23-'00_통제변수'!$C$22)*MIN(1,MAX(0,(A42-'00_통제변수'!$C$24+1)/MAX(1,'00_통제변수'!$C$25)))</f>
        <v>1.2889999999999999</v>
      </c>
      <c r="J42" s="22">
        <f t="shared" si="6"/>
        <v>124.07188819693992</v>
      </c>
      <c r="K42" s="25">
        <f>IF(A42&gt;='00_통제변수'!$C$28,'00_통제변수'!$C$27,'00_통제변수'!$C$26)</f>
        <v>31846</v>
      </c>
      <c r="L42" s="26">
        <f t="shared" si="7"/>
        <v>395.11933515197489</v>
      </c>
      <c r="M42" s="26">
        <f>L42/(1-'00_통제변수'!$B$8)*'00_통제변수'!$B$11</f>
        <v>421.23596498078348</v>
      </c>
      <c r="N42" s="26">
        <f>E42*('00_통제변수'!$B$9+('00_통제변수'!$B$10-'00_통제변수'!$B$9)*(A42-1)/MAX(1,'00_통제변수'!$B$6-1))</f>
        <v>1728.9234231513053</v>
      </c>
    </row>
    <row r="43" spans="1:14">
      <c r="A43" s="20">
        <v>40</v>
      </c>
      <c r="B43" s="20">
        <v>2030</v>
      </c>
      <c r="C43" s="20">
        <v>4</v>
      </c>
      <c r="D43" s="21">
        <f>'00_통제변수'!$C$16*(1+'00_통제변수'!$C$17)^(A43-1)</f>
        <v>9.8691873892181867</v>
      </c>
      <c r="E43" s="22">
        <f t="shared" si="8"/>
        <v>842.03170954558141</v>
      </c>
      <c r="F43" s="23">
        <f>'00_통제변수'!$C$18+('00_통제변수'!$C$19-'00_통제변수'!$C$18)*MIN(1,MAX(0,(A43-'00_통제변수'!$C$20+1)/MAX(1,'00_통제변수'!$C$21)))</f>
        <v>0.105</v>
      </c>
      <c r="G43" s="22">
        <f t="shared" si="9"/>
        <v>87.377064826418135</v>
      </c>
      <c r="H43" s="22">
        <f t="shared" si="5"/>
        <v>97.246252215636318</v>
      </c>
      <c r="I43" s="24">
        <f>'00_통제변수'!$C$22+('00_통제변수'!$C$23-'00_통제변수'!$C$22)*MIN(1,MAX(0,(A43-'00_통제변수'!$C$24+1)/MAX(1,'00_통제변수'!$C$25)))</f>
        <v>1.2889999999999999</v>
      </c>
      <c r="J43" s="22">
        <f t="shared" si="6"/>
        <v>125.35041910595521</v>
      </c>
      <c r="K43" s="25">
        <f>IF(A43&gt;='00_통제변수'!$C$28,'00_통제변수'!$C$27,'00_통제변수'!$C$26)</f>
        <v>31846</v>
      </c>
      <c r="L43" s="26">
        <f t="shared" si="7"/>
        <v>399.19094468482496</v>
      </c>
      <c r="M43" s="26">
        <f>L43/(1-'00_통제변수'!$B$8)*'00_통제변수'!$B$11</f>
        <v>425.57670009043176</v>
      </c>
      <c r="N43" s="26">
        <f>E43*('00_통제변수'!$B$9+('00_통제변수'!$B$10-'00_통제변수'!$B$9)*(A43-1)/MAX(1,'00_통제변수'!$B$6-1))</f>
        <v>1738.2959698754546</v>
      </c>
    </row>
    <row r="44" spans="1:14">
      <c r="A44" s="20">
        <v>41</v>
      </c>
      <c r="B44" s="20">
        <v>2030</v>
      </c>
      <c r="C44" s="20">
        <v>5</v>
      </c>
      <c r="D44" s="21">
        <f>'00_통제변수'!$C$16*(1+'00_통제변수'!$C$17)^(A44-1)</f>
        <v>9.8198414522720956</v>
      </c>
      <c r="E44" s="22">
        <f t="shared" si="8"/>
        <v>851.85155099785345</v>
      </c>
      <c r="F44" s="23">
        <f>'00_통제변수'!$C$18+('00_통제변수'!$C$19-'00_통제변수'!$C$18)*MIN(1,MAX(0,(A44-'00_통제변수'!$C$20+1)/MAX(1,'00_통제변수'!$C$21)))</f>
        <v>0.105</v>
      </c>
      <c r="G44" s="22">
        <f t="shared" si="9"/>
        <v>88.413329502286047</v>
      </c>
      <c r="H44" s="22">
        <f t="shared" si="5"/>
        <v>98.233170954558148</v>
      </c>
      <c r="I44" s="24">
        <f>'00_통제변수'!$C$22+('00_통제변수'!$C$23-'00_통제변수'!$C$22)*MIN(1,MAX(0,(A44-'00_통제변수'!$C$24+1)/MAX(1,'00_통제변수'!$C$25)))</f>
        <v>1.2889999999999999</v>
      </c>
      <c r="J44" s="22">
        <f t="shared" si="6"/>
        <v>126.62255736042545</v>
      </c>
      <c r="K44" s="25">
        <f>IF(A44&gt;='00_통제변수'!$C$28,'00_통제변수'!$C$27,'00_통제변수'!$C$26)</f>
        <v>31846</v>
      </c>
      <c r="L44" s="26">
        <f t="shared" si="7"/>
        <v>403.24219617001086</v>
      </c>
      <c r="M44" s="26">
        <f>L44/(1-'00_통제변수'!$B$8)*'00_통제변수'!$B$11</f>
        <v>429.89573152453187</v>
      </c>
      <c r="N44" s="26">
        <f>E44*('00_통제변수'!$B$9+('00_통제변수'!$B$10-'00_통제변수'!$B$9)*(A44-1)/MAX(1,'00_통제변수'!$B$6-1))</f>
        <v>1747.3063508772918</v>
      </c>
    </row>
    <row r="45" spans="1:14">
      <c r="A45" s="20">
        <v>42</v>
      </c>
      <c r="B45" s="20">
        <v>2030</v>
      </c>
      <c r="C45" s="20">
        <v>6</v>
      </c>
      <c r="D45" s="21">
        <f>'00_통제변수'!$C$16*(1+'00_통제변수'!$C$17)^(A45-1)</f>
        <v>9.7707422450107337</v>
      </c>
      <c r="E45" s="22">
        <f t="shared" si="8"/>
        <v>861.6222932428642</v>
      </c>
      <c r="F45" s="23">
        <f>'00_통제변수'!$C$18+('00_통제변수'!$C$19-'00_통제변수'!$C$18)*MIN(1,MAX(0,(A45-'00_통제변수'!$C$20+1)/MAX(1,'00_통제변수'!$C$21)))</f>
        <v>0.105</v>
      </c>
      <c r="G45" s="22">
        <f t="shared" si="9"/>
        <v>89.444412854774612</v>
      </c>
      <c r="H45" s="22">
        <f t="shared" si="5"/>
        <v>99.215155099785349</v>
      </c>
      <c r="I45" s="24">
        <f>'00_통제변수'!$C$22+('00_통제변수'!$C$23-'00_통제변수'!$C$22)*MIN(1,MAX(0,(A45-'00_통제변수'!$C$24+1)/MAX(1,'00_통제변수'!$C$25)))</f>
        <v>1.2889999999999999</v>
      </c>
      <c r="J45" s="22">
        <f t="shared" si="6"/>
        <v>127.8883349236233</v>
      </c>
      <c r="K45" s="25">
        <f>IF(A45&gt;='00_통제변수'!$C$28,'00_통제변수'!$C$27,'00_통제변수'!$C$26)</f>
        <v>31846</v>
      </c>
      <c r="L45" s="26">
        <f t="shared" si="7"/>
        <v>407.2731913977708</v>
      </c>
      <c r="M45" s="26">
        <f>L45/(1-'00_통제변수'!$B$8)*'00_통제변수'!$B$11</f>
        <v>434.19316780146141</v>
      </c>
      <c r="N45" s="26">
        <f>E45*('00_통제변수'!$B$9+('00_통제변수'!$B$10-'00_통제변수'!$B$9)*(A45-1)/MAX(1,'00_통제변수'!$B$6-1))</f>
        <v>1755.9570260935934</v>
      </c>
    </row>
    <row r="46" spans="1:14">
      <c r="A46" s="20">
        <v>43</v>
      </c>
      <c r="B46" s="20">
        <v>2030</v>
      </c>
      <c r="C46" s="20">
        <v>7</v>
      </c>
      <c r="D46" s="21">
        <f>'00_통제변수'!$C$16*(1+'00_통제변수'!$C$17)^(A46-1)</f>
        <v>9.7218885337856822</v>
      </c>
      <c r="E46" s="22">
        <f t="shared" si="8"/>
        <v>871.34418177664986</v>
      </c>
      <c r="F46" s="23">
        <f>'00_통제변수'!$C$18+('00_통제변수'!$C$19-'00_통제변수'!$C$18)*MIN(1,MAX(0,(A46-'00_통제변수'!$C$20+1)/MAX(1,'00_통제변수'!$C$21)))</f>
        <v>0.105</v>
      </c>
      <c r="G46" s="22">
        <f t="shared" si="9"/>
        <v>90.470340790500742</v>
      </c>
      <c r="H46" s="22">
        <f t="shared" si="5"/>
        <v>100.19222932428643</v>
      </c>
      <c r="I46" s="24">
        <f>'00_통제변수'!$C$22+('00_통제변수'!$C$23-'00_통제변수'!$C$22)*MIN(1,MAX(0,(A46-'00_통제변수'!$C$24+1)/MAX(1,'00_통제변수'!$C$25)))</f>
        <v>1.2889999999999999</v>
      </c>
      <c r="J46" s="22">
        <f t="shared" si="6"/>
        <v>129.14778359900521</v>
      </c>
      <c r="K46" s="25">
        <f>IF(A46&gt;='00_통제변수'!$C$28,'00_통제변수'!$C$27,'00_통제변수'!$C$26)</f>
        <v>31846</v>
      </c>
      <c r="L46" s="26">
        <f t="shared" si="7"/>
        <v>411.28403164939198</v>
      </c>
      <c r="M46" s="26">
        <f>L46/(1-'00_통제변수'!$B$8)*'00_통제변수'!$B$11</f>
        <v>438.46911689700642</v>
      </c>
      <c r="N46" s="26">
        <f>E46*('00_통제변수'!$B$9+('00_통제변수'!$B$10-'00_통제변수'!$B$9)*(A46-1)/MAX(1,'00_통제변수'!$B$6-1))</f>
        <v>1764.2504399159086</v>
      </c>
    </row>
    <row r="47" spans="1:14">
      <c r="A47" s="20">
        <v>44</v>
      </c>
      <c r="B47" s="20">
        <v>2030</v>
      </c>
      <c r="C47" s="20">
        <v>8</v>
      </c>
      <c r="D47" s="21">
        <f>'00_통제변수'!$C$16*(1+'00_통제변수'!$C$17)^(A47-1)</f>
        <v>9.6732790911167523</v>
      </c>
      <c r="E47" s="22">
        <f t="shared" si="8"/>
        <v>881.01746086776666</v>
      </c>
      <c r="F47" s="23">
        <f>'00_통제변수'!$C$18+('00_통제변수'!$C$19-'00_통제변수'!$C$18)*MIN(1,MAX(0,(A47-'00_통제변수'!$C$20+1)/MAX(1,'00_통제변수'!$C$21)))</f>
        <v>0.105</v>
      </c>
      <c r="G47" s="22">
        <f t="shared" si="9"/>
        <v>91.49113908654823</v>
      </c>
      <c r="H47" s="22">
        <f t="shared" si="5"/>
        <v>101.16441817766498</v>
      </c>
      <c r="I47" s="24">
        <f>'00_통제변수'!$C$22+('00_통제변수'!$C$23-'00_통제변수'!$C$22)*MIN(1,MAX(0,(A47-'00_통제변수'!$C$24+1)/MAX(1,'00_통제변수'!$C$25)))</f>
        <v>1.2889999999999999</v>
      </c>
      <c r="J47" s="22">
        <f t="shared" si="6"/>
        <v>130.40093503101016</v>
      </c>
      <c r="K47" s="25">
        <f>IF(A47&gt;='00_통제변수'!$C$28,'00_통제변수'!$C$27,'00_통제변수'!$C$26)</f>
        <v>31846</v>
      </c>
      <c r="L47" s="26">
        <f t="shared" si="7"/>
        <v>415.27481769975498</v>
      </c>
      <c r="M47" s="26">
        <f>L47/(1-'00_통제변수'!$B$8)*'00_통제변수'!$B$11</f>
        <v>442.72368624707354</v>
      </c>
      <c r="N47" s="26">
        <f>E47*('00_통제변수'!$B$9+('00_통제변수'!$B$10-'00_통제변수'!$B$9)*(A47-1)/MAX(1,'00_통제변수'!$B$6-1))</f>
        <v>1772.1890212845178</v>
      </c>
    </row>
    <row r="48" spans="1:14">
      <c r="A48" s="20">
        <v>45</v>
      </c>
      <c r="B48" s="20">
        <v>2030</v>
      </c>
      <c r="C48" s="20">
        <v>9</v>
      </c>
      <c r="D48" s="21">
        <f>'00_통제변수'!$C$16*(1+'00_통제변수'!$C$17)^(A48-1)</f>
        <v>9.6249126956611697</v>
      </c>
      <c r="E48" s="22">
        <f t="shared" si="8"/>
        <v>890.64237356342778</v>
      </c>
      <c r="F48" s="23">
        <f>'00_통제변수'!$C$18+('00_통제변수'!$C$19-'00_통제변수'!$C$18)*MIN(1,MAX(0,(A48-'00_통제변수'!$C$20+1)/MAX(1,'00_통제변수'!$C$21)))</f>
        <v>0.105</v>
      </c>
      <c r="G48" s="22">
        <f t="shared" si="9"/>
        <v>92.506833391115492</v>
      </c>
      <c r="H48" s="22">
        <f t="shared" si="5"/>
        <v>102.13174608677666</v>
      </c>
      <c r="I48" s="24">
        <f>'00_통제변수'!$C$22+('00_통제변수'!$C$23-'00_통제변수'!$C$22)*MIN(1,MAX(0,(A48-'00_통제변수'!$C$24+1)/MAX(1,'00_통제변수'!$C$25)))</f>
        <v>1.2889999999999999</v>
      </c>
      <c r="J48" s="22">
        <f t="shared" si="6"/>
        <v>131.64782070585511</v>
      </c>
      <c r="K48" s="25">
        <f>IF(A48&gt;='00_통제변수'!$C$28,'00_통제변수'!$C$27,'00_통제변수'!$C$26)</f>
        <v>31846</v>
      </c>
      <c r="L48" s="26">
        <f t="shared" si="7"/>
        <v>419.24564981986617</v>
      </c>
      <c r="M48" s="26">
        <f>L48/(1-'00_통제변수'!$B$8)*'00_통제변수'!$B$11</f>
        <v>446.95698275039041</v>
      </c>
      <c r="N48" s="26">
        <f>E48*('00_통제변수'!$B$9+('00_통제변수'!$B$10-'00_통제변수'!$B$9)*(A48-1)/MAX(1,'00_통제변수'!$B$6-1))</f>
        <v>1779.7751837818328</v>
      </c>
    </row>
    <row r="49" spans="1:14">
      <c r="A49" s="20">
        <v>46</v>
      </c>
      <c r="B49" s="20">
        <v>2030</v>
      </c>
      <c r="C49" s="20">
        <v>10</v>
      </c>
      <c r="D49" s="21">
        <f>'00_통제변수'!$C$16*(1+'00_통제변수'!$C$17)^(A49-1)</f>
        <v>9.5767881321828643</v>
      </c>
      <c r="E49" s="22">
        <f t="shared" si="8"/>
        <v>900.21916169561064</v>
      </c>
      <c r="F49" s="23">
        <f>'00_통제변수'!$C$18+('00_통제변수'!$C$19-'00_통제변수'!$C$18)*MIN(1,MAX(0,(A49-'00_통제변수'!$C$20+1)/MAX(1,'00_통제변수'!$C$21)))</f>
        <v>0.105</v>
      </c>
      <c r="G49" s="22">
        <f t="shared" si="9"/>
        <v>93.517449224159918</v>
      </c>
      <c r="H49" s="22">
        <f t="shared" si="5"/>
        <v>103.09423735634279</v>
      </c>
      <c r="I49" s="24">
        <f>'00_통제변수'!$C$22+('00_통제변수'!$C$23-'00_통제변수'!$C$22)*MIN(1,MAX(0,(A49-'00_통제변수'!$C$24+1)/MAX(1,'00_통제변수'!$C$25)))</f>
        <v>1.2889999999999999</v>
      </c>
      <c r="J49" s="22">
        <f t="shared" si="6"/>
        <v>132.88847195232586</v>
      </c>
      <c r="K49" s="25">
        <f>IF(A49&gt;='00_통제변수'!$C$28,'00_통제변수'!$C$27,'00_통제변수'!$C$26)</f>
        <v>31846</v>
      </c>
      <c r="L49" s="26">
        <f t="shared" si="7"/>
        <v>423.19662777937697</v>
      </c>
      <c r="M49" s="26">
        <f>L49/(1-'00_통제변수'!$B$8)*'00_통제변수'!$B$11</f>
        <v>451.16911277119084</v>
      </c>
      <c r="N49" s="26">
        <f>E49*('00_통제변수'!$B$9+('00_통제변수'!$B$10-'00_통제변수'!$B$9)*(A49-1)/MAX(1,'00_통제변수'!$B$6-1))</f>
        <v>1787.0113257252528</v>
      </c>
    </row>
    <row r="50" spans="1:14">
      <c r="A50" s="20">
        <v>47</v>
      </c>
      <c r="B50" s="20">
        <v>2030</v>
      </c>
      <c r="C50" s="20">
        <v>11</v>
      </c>
      <c r="D50" s="21">
        <f>'00_통제변수'!$C$16*(1+'00_통제변수'!$C$17)^(A50-1)</f>
        <v>9.528904191521951</v>
      </c>
      <c r="E50" s="22">
        <f t="shared" si="8"/>
        <v>909.74806588713261</v>
      </c>
      <c r="F50" s="23">
        <f>'00_통제변수'!$C$18+('00_통제변수'!$C$19-'00_통제변수'!$C$18)*MIN(1,MAX(0,(A50-'00_통제변수'!$C$20+1)/MAX(1,'00_통제변수'!$C$21)))</f>
        <v>0.105</v>
      </c>
      <c r="G50" s="22">
        <f t="shared" si="9"/>
        <v>94.523011978039108</v>
      </c>
      <c r="H50" s="22">
        <f t="shared" si="5"/>
        <v>104.05191616956105</v>
      </c>
      <c r="I50" s="24">
        <f>'00_통제변수'!$C$22+('00_통제변수'!$C$23-'00_통제변수'!$C$22)*MIN(1,MAX(0,(A50-'00_통제변수'!$C$24+1)/MAX(1,'00_통제변수'!$C$25)))</f>
        <v>1.2889999999999999</v>
      </c>
      <c r="J50" s="22">
        <f t="shared" si="6"/>
        <v>134.12291994256418</v>
      </c>
      <c r="K50" s="25">
        <f>IF(A50&gt;='00_통제변수'!$C$28,'00_통제변수'!$C$27,'00_통제변수'!$C$26)</f>
        <v>31846</v>
      </c>
      <c r="L50" s="26">
        <f t="shared" si="7"/>
        <v>427.12785084908984</v>
      </c>
      <c r="M50" s="26">
        <f>L50/(1-'00_통제변수'!$B$8)*'00_통제변수'!$B$11</f>
        <v>455.36018214188687</v>
      </c>
      <c r="N50" s="26">
        <f>E50*('00_통제변수'!$B$9+('00_통제변수'!$B$10-'00_통제변수'!$B$9)*(A50-1)/MAX(1,'00_통제변수'!$B$6-1))</f>
        <v>1793.8998302594748</v>
      </c>
    </row>
    <row r="51" spans="1:14">
      <c r="A51" s="27">
        <v>48</v>
      </c>
      <c r="B51" s="27">
        <v>2030</v>
      </c>
      <c r="C51" s="27">
        <v>12</v>
      </c>
      <c r="D51" s="28">
        <f>'00_통제변수'!$C$16*(1+'00_통제변수'!$C$17)^(A51-1)</f>
        <v>9.4812596705643415</v>
      </c>
      <c r="E51" s="29">
        <f t="shared" si="8"/>
        <v>919.22932555769694</v>
      </c>
      <c r="F51" s="30">
        <f>'00_통제변수'!$C$18+('00_통제변수'!$C$19-'00_통제변수'!$C$18)*MIN(1,MAX(0,(A51-'00_통제변수'!$C$20+1)/MAX(1,'00_통제변수'!$C$21)))</f>
        <v>0.105</v>
      </c>
      <c r="G51" s="29">
        <f t="shared" si="9"/>
        <v>95.523546918148924</v>
      </c>
      <c r="H51" s="29">
        <f t="shared" si="5"/>
        <v>105.00480658871327</v>
      </c>
      <c r="I51" s="31">
        <f>'00_통제변수'!$C$22+('00_통제변수'!$C$23-'00_통제변수'!$C$22)*MIN(1,MAX(0,(A51-'00_통제변수'!$C$24+1)/MAX(1,'00_통제변수'!$C$25)))</f>
        <v>1.2889999999999999</v>
      </c>
      <c r="J51" s="29">
        <f t="shared" si="6"/>
        <v>135.35119569285138</v>
      </c>
      <c r="K51" s="32">
        <f>IF(A51&gt;='00_통제변수'!$C$28,'00_통제변수'!$C$27,'00_통제변수'!$C$26)</f>
        <v>31846</v>
      </c>
      <c r="L51" s="33">
        <f t="shared" si="7"/>
        <v>431.03941780345451</v>
      </c>
      <c r="M51" s="33">
        <f>L51/(1-'00_통제변수'!$B$8)*'00_통제변수'!$B$11</f>
        <v>459.53029616572979</v>
      </c>
      <c r="N51" s="33">
        <f>E51*('00_통제변수'!$B$9+('00_통제변수'!$B$10-'00_통제변수'!$B$9)*(A51-1)/MAX(1,'00_통제변수'!$B$6-1))</f>
        <v>1800.4430654482619</v>
      </c>
    </row>
    <row r="52" spans="1:14">
      <c r="A52" s="20">
        <v>49</v>
      </c>
      <c r="B52" s="20">
        <v>2031</v>
      </c>
      <c r="C52" s="20">
        <v>1</v>
      </c>
      <c r="D52" s="21">
        <f>'00_통제변수'!$C$16*(1+'00_통제변수'!$C$17)^(A52-1)</f>
        <v>9.4338533722115194</v>
      </c>
      <c r="E52" s="22">
        <f t="shared" si="8"/>
        <v>928.66317892990844</v>
      </c>
      <c r="F52" s="23">
        <f>'00_통제변수'!$C$18+('00_통제변수'!$C$19-'00_통제변수'!$C$18)*MIN(1,MAX(0,(A52-'00_통제변수'!$C$20+1)/MAX(1,'00_통제변수'!$C$21)))</f>
        <v>0.105</v>
      </c>
      <c r="G52" s="22">
        <f t="shared" si="9"/>
        <v>96.519079183558176</v>
      </c>
      <c r="H52" s="22">
        <f t="shared" si="5"/>
        <v>105.95293255576969</v>
      </c>
      <c r="I52" s="24">
        <f>'00_통제변수'!$C$22+('00_통제변수'!$C$23-'00_통제변수'!$C$22)*MIN(1,MAX(0,(A52-'00_통제변수'!$C$24+1)/MAX(1,'00_통제변수'!$C$25)))</f>
        <v>1.2889999999999999</v>
      </c>
      <c r="J52" s="22">
        <f t="shared" si="6"/>
        <v>136.57333006438714</v>
      </c>
      <c r="K52" s="25">
        <f>IF(A52&gt;='00_통제변수'!$C$28,'00_통제변수'!$C$27,'00_통제변수'!$C$26)</f>
        <v>31846</v>
      </c>
      <c r="L52" s="26">
        <f t="shared" si="7"/>
        <v>434.9314269230473</v>
      </c>
      <c r="M52" s="26">
        <f>L52/(1-'00_통제변수'!$B$8)*'00_통제변수'!$B$11</f>
        <v>463.67955961945341</v>
      </c>
      <c r="N52" s="26">
        <f>E52*('00_통제변수'!$B$9+('00_통제변수'!$B$10-'00_통제변수'!$B$9)*(A52-1)/MAX(1,'00_통제변수'!$B$6-1))</f>
        <v>1806.6433843656762</v>
      </c>
    </row>
    <row r="53" spans="1:14">
      <c r="A53" s="20">
        <v>50</v>
      </c>
      <c r="B53" s="20">
        <v>2031</v>
      </c>
      <c r="C53" s="20">
        <v>2</v>
      </c>
      <c r="D53" s="21">
        <f>'00_통제변수'!$C$16*(1+'00_통제변수'!$C$17)^(A53-1)</f>
        <v>9.3866841053504597</v>
      </c>
      <c r="E53" s="22">
        <f t="shared" si="8"/>
        <v>938.04986303525891</v>
      </c>
      <c r="F53" s="23">
        <f>'00_통제변수'!$C$18+('00_통제변수'!$C$19-'00_통제변수'!$C$18)*MIN(1,MAX(0,(A53-'00_통제변수'!$C$20+1)/MAX(1,'00_통제변수'!$C$21)))</f>
        <v>0.105</v>
      </c>
      <c r="G53" s="22">
        <f t="shared" si="9"/>
        <v>97.509633787640382</v>
      </c>
      <c r="H53" s="22">
        <f t="shared" si="5"/>
        <v>106.89631789299084</v>
      </c>
      <c r="I53" s="24">
        <f>'00_통제변수'!$C$22+('00_통제변수'!$C$23-'00_통제변수'!$C$22)*MIN(1,MAX(0,(A53-'00_통제변수'!$C$24+1)/MAX(1,'00_통제변수'!$C$25)))</f>
        <v>1.2889999999999999</v>
      </c>
      <c r="J53" s="22">
        <f t="shared" si="6"/>
        <v>137.78935376406517</v>
      </c>
      <c r="K53" s="25">
        <f>IF(A53&gt;='00_통제변수'!$C$28,'00_통제변수'!$C$27,'00_통제변수'!$C$26)</f>
        <v>31846</v>
      </c>
      <c r="L53" s="26">
        <f t="shared" si="7"/>
        <v>438.8039759970419</v>
      </c>
      <c r="M53" s="26">
        <f>L53/(1-'00_통제변수'!$B$8)*'00_통제변수'!$B$11</f>
        <v>467.80807675590825</v>
      </c>
      <c r="N53" s="26">
        <f>E53*('00_통제변수'!$B$9+('00_통제변수'!$B$10-'00_통제변수'!$B$9)*(A53-1)/MAX(1,'00_통제변수'!$B$6-1))</f>
        <v>1812.5031251867715</v>
      </c>
    </row>
    <row r="54" spans="1:14">
      <c r="A54" s="20">
        <v>51</v>
      </c>
      <c r="B54" s="20">
        <v>2031</v>
      </c>
      <c r="C54" s="20">
        <v>3</v>
      </c>
      <c r="D54" s="21">
        <f>'00_통제변수'!$C$16*(1+'00_통제변수'!$C$17)^(A54-1)</f>
        <v>9.3397506848237075</v>
      </c>
      <c r="E54" s="22">
        <f t="shared" si="8"/>
        <v>947.38961372008259</v>
      </c>
      <c r="F54" s="23">
        <f>'00_통제변수'!$C$18+('00_통제변수'!$C$19-'00_통제변수'!$C$18)*MIN(1,MAX(0,(A54-'00_통제변수'!$C$20+1)/MAX(1,'00_통제변수'!$C$21)))</f>
        <v>0.105</v>
      </c>
      <c r="G54" s="22">
        <f t="shared" si="9"/>
        <v>98.495235618702182</v>
      </c>
      <c r="H54" s="22">
        <f t="shared" si="5"/>
        <v>107.83498630352589</v>
      </c>
      <c r="I54" s="24">
        <f>'00_통제변수'!$C$22+('00_통제변수'!$C$23-'00_통제변수'!$C$22)*MIN(1,MAX(0,(A54-'00_통제변수'!$C$24+1)/MAX(1,'00_통제변수'!$C$25)))</f>
        <v>1.2889999999999999</v>
      </c>
      <c r="J54" s="22">
        <f t="shared" si="6"/>
        <v>138.99929734524488</v>
      </c>
      <c r="K54" s="25">
        <f>IF(A54&gt;='00_통제변수'!$C$28,'00_통제변수'!$C$27,'00_통제변수'!$C$26)</f>
        <v>31846</v>
      </c>
      <c r="L54" s="26">
        <f t="shared" si="7"/>
        <v>442.65716232566683</v>
      </c>
      <c r="M54" s="26">
        <f>L54/(1-'00_통제변수'!$B$8)*'00_통제변수'!$B$11</f>
        <v>471.91595130668111</v>
      </c>
      <c r="N54" s="26">
        <f>E54*('00_통제변수'!$B$9+('00_통제변수'!$B$10-'00_통제변수'!$B$9)*(A54-1)/MAX(1,'00_통제변수'!$B$6-1))</f>
        <v>1818.0246112777586</v>
      </c>
    </row>
    <row r="55" spans="1:14">
      <c r="A55" s="20">
        <v>52</v>
      </c>
      <c r="B55" s="20">
        <v>2031</v>
      </c>
      <c r="C55" s="20">
        <v>4</v>
      </c>
      <c r="D55" s="21">
        <f>'00_통제변수'!$C$16*(1+'00_통제변수'!$C$17)^(A55-1)</f>
        <v>9.2930519313995887</v>
      </c>
      <c r="E55" s="22">
        <f t="shared" si="8"/>
        <v>956.68266565148224</v>
      </c>
      <c r="F55" s="23">
        <f>'00_통제변수'!$C$18+('00_통제변수'!$C$19-'00_통제변수'!$C$18)*MIN(1,MAX(0,(A55-'00_통제변수'!$C$20+1)/MAX(1,'00_통제변수'!$C$21)))</f>
        <v>0.105</v>
      </c>
      <c r="G55" s="22">
        <f t="shared" si="9"/>
        <v>99.475909440608675</v>
      </c>
      <c r="H55" s="22">
        <f t="shared" si="5"/>
        <v>108.76896137200826</v>
      </c>
      <c r="I55" s="24">
        <f>'00_통제변수'!$C$22+('00_통제변수'!$C$23-'00_통제변수'!$C$22)*MIN(1,MAX(0,(A55-'00_통제변수'!$C$24+1)/MAX(1,'00_통제변수'!$C$25)))</f>
        <v>1.2889999999999999</v>
      </c>
      <c r="J55" s="22">
        <f t="shared" si="6"/>
        <v>140.20319120851863</v>
      </c>
      <c r="K55" s="25">
        <f>IF(A55&gt;='00_통제변수'!$C$28,'00_통제변수'!$C$27,'00_통제변수'!$C$26)</f>
        <v>31846</v>
      </c>
      <c r="L55" s="26">
        <f t="shared" si="7"/>
        <v>446.4910827226484</v>
      </c>
      <c r="M55" s="26">
        <f>L55/(1-'00_통제변수'!$B$8)*'00_통제변수'!$B$11</f>
        <v>476.0032864846998</v>
      </c>
      <c r="N55" s="26">
        <f>E55*('00_통제변수'!$B$9+('00_통제변수'!$B$10-'00_통제변수'!$B$9)*(A55-1)/MAX(1,'00_통제변수'!$B$6-1))</f>
        <v>1823.2101512856382</v>
      </c>
    </row>
    <row r="56" spans="1:14">
      <c r="A56" s="20">
        <v>53</v>
      </c>
      <c r="B56" s="20">
        <v>2031</v>
      </c>
      <c r="C56" s="20">
        <v>5</v>
      </c>
      <c r="D56" s="21">
        <f>'00_통제변수'!$C$16*(1+'00_통제변수'!$C$17)^(A56-1)</f>
        <v>9.2465866717425929</v>
      </c>
      <c r="E56" s="22">
        <f t="shared" si="8"/>
        <v>965.92925232322489</v>
      </c>
      <c r="F56" s="23">
        <f>'00_통제변수'!$C$18+('00_통제변수'!$C$19-'00_통제변수'!$C$18)*MIN(1,MAX(0,(A56-'00_통제변수'!$C$20+1)/MAX(1,'00_통제변수'!$C$21)))</f>
        <v>0.105</v>
      </c>
      <c r="G56" s="22">
        <f t="shared" si="9"/>
        <v>100.45167989340563</v>
      </c>
      <c r="H56" s="22">
        <f t="shared" si="5"/>
        <v>109.69826656514822</v>
      </c>
      <c r="I56" s="24">
        <f>'00_통제변수'!$C$22+('00_통제변수'!$C$23-'00_통제변수'!$C$22)*MIN(1,MAX(0,(A56-'00_통제변수'!$C$24+1)/MAX(1,'00_통제변수'!$C$25)))</f>
        <v>1.2889999999999999</v>
      </c>
      <c r="J56" s="22">
        <f t="shared" si="6"/>
        <v>141.40106560247605</v>
      </c>
      <c r="K56" s="25">
        <f>IF(A56&gt;='00_통제변수'!$C$28,'00_통제변수'!$C$27,'00_통제변수'!$C$26)</f>
        <v>31846</v>
      </c>
      <c r="L56" s="26">
        <f t="shared" si="7"/>
        <v>450.30583351764523</v>
      </c>
      <c r="M56" s="26">
        <f>L56/(1-'00_통제변수'!$B$8)*'00_통제변수'!$B$11</f>
        <v>480.07018498682862</v>
      </c>
      <c r="N56" s="26">
        <f>E56*('00_통제변수'!$B$9+('00_통제변수'!$B$10-'00_통제변수'!$B$9)*(A56-1)/MAX(1,'00_통제변수'!$B$6-1))</f>
        <v>1828.0620392273102</v>
      </c>
    </row>
    <row r="57" spans="1:14">
      <c r="A57" s="20">
        <v>54</v>
      </c>
      <c r="B57" s="20">
        <v>2031</v>
      </c>
      <c r="C57" s="20">
        <v>6</v>
      </c>
      <c r="D57" s="21">
        <f>'00_통제변수'!$C$16*(1+'00_통제변수'!$C$17)^(A57-1)</f>
        <v>9.2003537383838783</v>
      </c>
      <c r="E57" s="22">
        <f t="shared" si="8"/>
        <v>975.1296060616088</v>
      </c>
      <c r="F57" s="23">
        <f>'00_통제변수'!$C$18+('00_통제변수'!$C$19-'00_통제변수'!$C$18)*MIN(1,MAX(0,(A57-'00_통제변수'!$C$20+1)/MAX(1,'00_통제변수'!$C$21)))</f>
        <v>0.105</v>
      </c>
      <c r="G57" s="22">
        <f t="shared" si="9"/>
        <v>101.42257149393861</v>
      </c>
      <c r="H57" s="22">
        <f t="shared" si="5"/>
        <v>110.62292523232249</v>
      </c>
      <c r="I57" s="24">
        <f>'00_통제변수'!$C$22+('00_통제변수'!$C$23-'00_통제변수'!$C$22)*MIN(1,MAX(0,(A57-'00_통제변수'!$C$24+1)/MAX(1,'00_통제변수'!$C$25)))</f>
        <v>1.2889999999999999</v>
      </c>
      <c r="J57" s="22">
        <f t="shared" si="6"/>
        <v>142.59295062446367</v>
      </c>
      <c r="K57" s="25">
        <f>IF(A57&gt;='00_통제변수'!$C$28,'00_통제변수'!$C$27,'00_통제변수'!$C$26)</f>
        <v>31846</v>
      </c>
      <c r="L57" s="26">
        <f t="shared" si="7"/>
        <v>454.10151055866703</v>
      </c>
      <c r="M57" s="26">
        <f>L57/(1-'00_통제변수'!$B$8)*'00_통제변수'!$B$11</f>
        <v>484.11674899644674</v>
      </c>
      <c r="N57" s="26">
        <f>E57*('00_통제변수'!$B$9+('00_통제변수'!$B$10-'00_통제변수'!$B$9)*(A57-1)/MAX(1,'00_통제변수'!$B$6-1))</f>
        <v>1832.5825545781559</v>
      </c>
    </row>
    <row r="58" spans="1:14">
      <c r="A58" s="20">
        <v>55</v>
      </c>
      <c r="B58" s="20">
        <v>2031</v>
      </c>
      <c r="C58" s="20">
        <v>7</v>
      </c>
      <c r="D58" s="21">
        <f>'00_통제변수'!$C$16*(1+'00_통제변수'!$C$17)^(A58-1)</f>
        <v>9.1543519696919606</v>
      </c>
      <c r="E58" s="22">
        <f t="shared" si="8"/>
        <v>984.28395803130081</v>
      </c>
      <c r="F58" s="23">
        <f>'00_통제변수'!$C$18+('00_통제변수'!$C$19-'00_통제변수'!$C$18)*MIN(1,MAX(0,(A58-'00_통제변수'!$C$20+1)/MAX(1,'00_통제변수'!$C$21)))</f>
        <v>0.105</v>
      </c>
      <c r="G58" s="22">
        <f t="shared" si="9"/>
        <v>102.38860863646892</v>
      </c>
      <c r="H58" s="22">
        <f t="shared" si="5"/>
        <v>111.54296060616088</v>
      </c>
      <c r="I58" s="24">
        <f>'00_통제변수'!$C$22+('00_통제변수'!$C$23-'00_통제변수'!$C$22)*MIN(1,MAX(0,(A58-'00_통제변수'!$C$24+1)/MAX(1,'00_통제변수'!$C$25)))</f>
        <v>1.2889999999999999</v>
      </c>
      <c r="J58" s="22">
        <f t="shared" si="6"/>
        <v>143.77887622134136</v>
      </c>
      <c r="K58" s="25">
        <f>IF(A58&gt;='00_통제변수'!$C$28,'00_통제변수'!$C$27,'00_통제변수'!$C$26)</f>
        <v>31846</v>
      </c>
      <c r="L58" s="26">
        <f t="shared" si="7"/>
        <v>457.87820921448366</v>
      </c>
      <c r="M58" s="26">
        <f>L58/(1-'00_통제변수'!$B$8)*'00_통제변수'!$B$11</f>
        <v>488.14308018601673</v>
      </c>
      <c r="N58" s="26">
        <f>E58*('00_통제변수'!$B$9+('00_통제변수'!$B$10-'00_통제변수'!$B$9)*(A58-1)/MAX(1,'00_통제변수'!$B$6-1))</f>
        <v>1836.7739623601053</v>
      </c>
    </row>
    <row r="59" spans="1:14">
      <c r="A59" s="20">
        <v>56</v>
      </c>
      <c r="B59" s="20">
        <v>2031</v>
      </c>
      <c r="C59" s="20">
        <v>8</v>
      </c>
      <c r="D59" s="21">
        <f>'00_통제변수'!$C$16*(1+'00_통제변수'!$C$17)^(A59-1)</f>
        <v>9.1085802098434989</v>
      </c>
      <c r="E59" s="22">
        <f t="shared" si="8"/>
        <v>993.39253824114428</v>
      </c>
      <c r="F59" s="23">
        <f>'00_통제변수'!$C$18+('00_통제변수'!$C$19-'00_통제변수'!$C$18)*MIN(1,MAX(0,(A59-'00_통제변수'!$C$20+1)/MAX(1,'00_통제변수'!$C$21)))</f>
        <v>0.105</v>
      </c>
      <c r="G59" s="22">
        <f t="shared" si="9"/>
        <v>103.34981559328658</v>
      </c>
      <c r="H59" s="22">
        <f t="shared" si="5"/>
        <v>112.45839580313007</v>
      </c>
      <c r="I59" s="24">
        <f>'00_통제변수'!$C$22+('00_통제변수'!$C$23-'00_통제변수'!$C$22)*MIN(1,MAX(0,(A59-'00_통제변수'!$C$24+1)/MAX(1,'00_통제변수'!$C$25)))</f>
        <v>1.2889999999999999</v>
      </c>
      <c r="J59" s="22">
        <f t="shared" si="6"/>
        <v>144.95887219023464</v>
      </c>
      <c r="K59" s="25">
        <f>IF(A59&gt;='00_통제변수'!$C$28,'00_통제변수'!$C$27,'00_통제변수'!$C$26)</f>
        <v>31846</v>
      </c>
      <c r="L59" s="26">
        <f t="shared" si="7"/>
        <v>461.63602437702127</v>
      </c>
      <c r="M59" s="26">
        <f>L59/(1-'00_통제변수'!$B$8)*'00_통제변수'!$B$11</f>
        <v>492.14927971963891</v>
      </c>
      <c r="N59" s="26">
        <f>E59*('00_통제변수'!$B$9+('00_통제변수'!$B$10-'00_통제변수'!$B$9)*(A59-1)/MAX(1,'00_통제변수'!$B$6-1))</f>
        <v>1840.6385132291848</v>
      </c>
    </row>
    <row r="60" spans="1:14">
      <c r="A60" s="20">
        <v>57</v>
      </c>
      <c r="B60" s="20">
        <v>2031</v>
      </c>
      <c r="C60" s="20">
        <v>9</v>
      </c>
      <c r="D60" s="21">
        <f>'00_통제변수'!$C$16*(1+'00_통제변수'!$C$17)^(A60-1)</f>
        <v>9.0630373087942822</v>
      </c>
      <c r="E60" s="22">
        <f t="shared" si="8"/>
        <v>1002.4555755499385</v>
      </c>
      <c r="F60" s="23">
        <f>'00_통제변수'!$C$18+('00_통제변수'!$C$19-'00_통제변수'!$C$18)*MIN(1,MAX(0,(A60-'00_통제변수'!$C$20+1)/MAX(1,'00_통제변수'!$C$21)))</f>
        <v>0.105</v>
      </c>
      <c r="G60" s="22">
        <f t="shared" si="9"/>
        <v>104.30621651532014</v>
      </c>
      <c r="H60" s="22">
        <f t="shared" si="5"/>
        <v>113.36925382411442</v>
      </c>
      <c r="I60" s="24">
        <f>'00_통제변수'!$C$22+('00_통제변수'!$C$23-'00_통제변수'!$C$22)*MIN(1,MAX(0,(A60-'00_통제변수'!$C$24+1)/MAX(1,'00_통제변수'!$C$25)))</f>
        <v>1.2889999999999999</v>
      </c>
      <c r="J60" s="22">
        <f t="shared" si="6"/>
        <v>146.13296817928349</v>
      </c>
      <c r="K60" s="25">
        <f>IF(A60&gt;='00_통제변수'!$C$28,'00_통제변수'!$C$27,'00_통제변수'!$C$26)</f>
        <v>31846</v>
      </c>
      <c r="L60" s="26">
        <f t="shared" si="7"/>
        <v>465.37505046374622</v>
      </c>
      <c r="M60" s="26">
        <f>L60/(1-'00_통제변수'!$B$8)*'00_통제변수'!$B$11</f>
        <v>496.13544825559302</v>
      </c>
      <c r="N60" s="26">
        <f>E60*('00_통제변수'!$B$9+('00_통제변수'!$B$10-'00_통제변수'!$B$9)*(A60-1)/MAX(1,'00_통제변수'!$B$6-1))</f>
        <v>1844.1784435625482</v>
      </c>
    </row>
    <row r="61" spans="1:14">
      <c r="A61" s="20">
        <v>58</v>
      </c>
      <c r="B61" s="20">
        <v>2031</v>
      </c>
      <c r="C61" s="20">
        <v>10</v>
      </c>
      <c r="D61" s="21">
        <f>'00_통제변수'!$C$16*(1+'00_통제변수'!$C$17)^(A61-1)</f>
        <v>9.0177221222503121</v>
      </c>
      <c r="E61" s="22">
        <f t="shared" si="8"/>
        <v>1011.4732976721889</v>
      </c>
      <c r="F61" s="23">
        <f>'00_통제변수'!$C$18+('00_통제변수'!$C$19-'00_통제변수'!$C$18)*MIN(1,MAX(0,(A61-'00_통제변수'!$C$20+1)/MAX(1,'00_통제변수'!$C$21)))</f>
        <v>0.105</v>
      </c>
      <c r="G61" s="22">
        <f t="shared" si="9"/>
        <v>105.25783543274355</v>
      </c>
      <c r="H61" s="22">
        <f t="shared" si="5"/>
        <v>114.27555755499387</v>
      </c>
      <c r="I61" s="24">
        <f>'00_통제변수'!$C$22+('00_통제변수'!$C$23-'00_통제변수'!$C$22)*MIN(1,MAX(0,(A61-'00_통제변수'!$C$24+1)/MAX(1,'00_통제변수'!$C$25)))</f>
        <v>1.2889999999999999</v>
      </c>
      <c r="J61" s="22">
        <f t="shared" si="6"/>
        <v>147.30119368838709</v>
      </c>
      <c r="K61" s="25">
        <f>IF(A61&gt;='00_통제변수'!$C$28,'00_통제변수'!$C$27,'00_통제변수'!$C$26)</f>
        <v>31846</v>
      </c>
      <c r="L61" s="26">
        <f t="shared" si="7"/>
        <v>469.09538142003754</v>
      </c>
      <c r="M61" s="26">
        <f>L61/(1-'00_통제변수'!$B$8)*'00_통제변수'!$B$11</f>
        <v>500.10168594886733</v>
      </c>
      <c r="N61" s="26">
        <f>E61*('00_통제변수'!$B$9+('00_통제변수'!$B$10-'00_통제변수'!$B$9)*(A61-1)/MAX(1,'00_통제변수'!$B$6-1))</f>
        <v>1847.3959755450014</v>
      </c>
    </row>
    <row r="62" spans="1:14">
      <c r="A62" s="20">
        <v>59</v>
      </c>
      <c r="B62" s="20">
        <v>2031</v>
      </c>
      <c r="C62" s="20">
        <v>11</v>
      </c>
      <c r="D62" s="21">
        <f>'00_통제변수'!$C$16*(1+'00_통제변수'!$C$17)^(A62-1)</f>
        <v>8.9726335116390601</v>
      </c>
      <c r="E62" s="22">
        <f t="shared" si="8"/>
        <v>1020.445931183828</v>
      </c>
      <c r="F62" s="23">
        <f>'00_통제변수'!$C$18+('00_통제변수'!$C$19-'00_통제변수'!$C$18)*MIN(1,MAX(0,(A62-'00_통제변수'!$C$20+1)/MAX(1,'00_통제변수'!$C$21)))</f>
        <v>0.105</v>
      </c>
      <c r="G62" s="22">
        <f t="shared" si="9"/>
        <v>106.20469625557983</v>
      </c>
      <c r="H62" s="22">
        <f t="shared" si="5"/>
        <v>115.17732976721889</v>
      </c>
      <c r="I62" s="24">
        <f>'00_통제변수'!$C$22+('00_통제변수'!$C$23-'00_통제변수'!$C$22)*MIN(1,MAX(0,(A62-'00_통제변수'!$C$24+1)/MAX(1,'00_통제변수'!$C$25)))</f>
        <v>1.2889999999999999</v>
      </c>
      <c r="J62" s="22">
        <f t="shared" si="6"/>
        <v>148.46357806994516</v>
      </c>
      <c r="K62" s="25">
        <f>IF(A62&gt;='00_통제변수'!$C$28,'00_통제변수'!$C$27,'00_통제변수'!$C$26)</f>
        <v>31846</v>
      </c>
      <c r="L62" s="26">
        <f t="shared" si="7"/>
        <v>472.79711072154737</v>
      </c>
      <c r="M62" s="26">
        <f>L62/(1-'00_통제변수'!$B$8)*'00_통제변수'!$B$11</f>
        <v>504.04809245367528</v>
      </c>
      <c r="N62" s="26">
        <f>E62*('00_통제변수'!$B$9+('00_통제변수'!$B$10-'00_통제변수'!$B$9)*(A62-1)/MAX(1,'00_통제변수'!$B$6-1))</f>
        <v>1850.2933172550154</v>
      </c>
    </row>
    <row r="63" spans="1:14">
      <c r="A63" s="27">
        <v>60</v>
      </c>
      <c r="B63" s="27">
        <v>2031</v>
      </c>
      <c r="C63" s="27">
        <v>12</v>
      </c>
      <c r="D63" s="28">
        <f>'00_통제변수'!$C$16*(1+'00_통제변수'!$C$17)^(A63-1)</f>
        <v>8.927770344080864</v>
      </c>
      <c r="E63" s="29">
        <f t="shared" si="8"/>
        <v>1029.3737015279089</v>
      </c>
      <c r="F63" s="30">
        <f>'00_통제변수'!$C$18+('00_통제변수'!$C$19-'00_통제변수'!$C$18)*MIN(1,MAX(0,(A63-'00_통제변수'!$C$20+1)/MAX(1,'00_통제변수'!$C$21)))</f>
        <v>0.105</v>
      </c>
      <c r="G63" s="29">
        <f t="shared" si="9"/>
        <v>107.14682277430192</v>
      </c>
      <c r="H63" s="29">
        <f t="shared" si="5"/>
        <v>116.07459311838279</v>
      </c>
      <c r="I63" s="31">
        <f>'00_통제변수'!$C$22+('00_통제변수'!$C$23-'00_통제변수'!$C$22)*MIN(1,MAX(0,(A63-'00_통제변수'!$C$24+1)/MAX(1,'00_통제변수'!$C$25)))</f>
        <v>1.2889999999999999</v>
      </c>
      <c r="J63" s="29">
        <f t="shared" si="6"/>
        <v>149.62015052959541</v>
      </c>
      <c r="K63" s="32">
        <f>IF(A63&gt;='00_통제변수'!$C$28,'00_통제변수'!$C$27,'00_통제변수'!$C$26)</f>
        <v>31846</v>
      </c>
      <c r="L63" s="33">
        <f t="shared" si="7"/>
        <v>476.48033137654949</v>
      </c>
      <c r="M63" s="33">
        <f>L63/(1-'00_통제변수'!$B$8)*'00_통제변수'!$B$11</f>
        <v>507.97476692595899</v>
      </c>
      <c r="N63" s="33">
        <f>E63*('00_통제변수'!$B$9+('00_통제변수'!$B$10-'00_통제변수'!$B$9)*(A63-1)/MAX(1,'00_통제변수'!$B$6-1))</f>
        <v>1852.872662750236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showGridLines="0" zoomScaleNormal="100" workbookViewId="0">
      <selection activeCell="K15" sqref="K15"/>
    </sheetView>
  </sheetViews>
  <sheetFormatPr defaultColWidth="8.7109375" defaultRowHeight="15"/>
  <cols>
    <col min="1" max="1" width="6" customWidth="1"/>
    <col min="2" max="2" width="7" customWidth="1"/>
    <col min="3" max="3" width="5" customWidth="1"/>
    <col min="4" max="4" width="12" customWidth="1"/>
    <col min="5" max="5" width="13" customWidth="1"/>
    <col min="6" max="6" width="9" customWidth="1"/>
    <col min="7" max="7" width="11" customWidth="1"/>
    <col min="8" max="8" width="12" customWidth="1"/>
    <col min="9" max="10" width="11" customWidth="1"/>
    <col min="11" max="11" width="10" customWidth="1"/>
    <col min="12" max="18" width="11" customWidth="1"/>
    <col min="19" max="19" width="12" customWidth="1"/>
  </cols>
  <sheetData>
    <row r="1" spans="1:14" ht="16.5">
      <c r="A1" s="1" t="s">
        <v>88</v>
      </c>
    </row>
    <row r="2" spans="1:14">
      <c r="A2" s="2" t="s">
        <v>74</v>
      </c>
    </row>
    <row r="3" spans="1:14" ht="33.75" customHeight="1">
      <c r="A3" s="19" t="s">
        <v>75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54</v>
      </c>
      <c r="G3" s="19" t="s">
        <v>80</v>
      </c>
      <c r="H3" s="19" t="s">
        <v>81</v>
      </c>
      <c r="I3" s="19" t="s">
        <v>82</v>
      </c>
      <c r="J3" s="19" t="s">
        <v>83</v>
      </c>
      <c r="K3" s="19" t="s">
        <v>84</v>
      </c>
      <c r="L3" s="19" t="s">
        <v>85</v>
      </c>
      <c r="M3" s="19" t="s">
        <v>86</v>
      </c>
      <c r="N3" s="19" t="s">
        <v>87</v>
      </c>
    </row>
    <row r="4" spans="1:14">
      <c r="A4" s="20">
        <v>1</v>
      </c>
      <c r="B4" s="20">
        <v>2027</v>
      </c>
      <c r="C4" s="20">
        <v>1</v>
      </c>
      <c r="D4" s="21">
        <f>'00_통제변수'!$D$16*(1+'00_통제변수'!$D$17)^(A4-1)</f>
        <v>12</v>
      </c>
      <c r="E4" s="22">
        <f>'00_통제변수'!$B$7+D4</f>
        <v>418</v>
      </c>
      <c r="F4" s="23">
        <f>'00_통제변수'!$D$18+('00_통제변수'!$D$19-'00_통제변수'!$D$18)*MIN(1,MAX(0,(A4-'00_통제변수'!$D$20+1)/MAX(1,'00_통제변수'!$D$21)))</f>
        <v>0.111</v>
      </c>
      <c r="G4" s="22">
        <f>'00_통제변수'!$B$7*F4</f>
        <v>45.066000000000003</v>
      </c>
      <c r="H4" s="22">
        <f t="shared" ref="H4:H35" si="0">D4+G4</f>
        <v>57.066000000000003</v>
      </c>
      <c r="I4" s="24">
        <f>'00_통제변수'!$D$22+('00_통제변수'!$D$23-'00_통제변수'!$D$22)*MIN(1,MAX(0,(A4-'00_통제변수'!$D$24+1)/MAX(1,'00_통제변수'!$D$25)))</f>
        <v>1.2889999999999999</v>
      </c>
      <c r="J4" s="22">
        <f t="shared" ref="J4:J35" si="1">H4*I4</f>
        <v>73.558074000000005</v>
      </c>
      <c r="K4" s="25">
        <f>IF(A4&gt;='00_통제변수'!$D$28,'00_통제변수'!$D$27,'00_통제변수'!$D$26)</f>
        <v>31846</v>
      </c>
      <c r="L4" s="26">
        <f t="shared" ref="L4:L35" si="2">J4*K4/10000</f>
        <v>234.2530424604</v>
      </c>
      <c r="M4" s="26">
        <f>L4/(1-'00_통제변수'!$B$8)*'00_통제변수'!$B$11</f>
        <v>249.73671904093817</v>
      </c>
      <c r="N4" s="26">
        <f>E4*('00_통제변수'!$B$9+('00_통제변수'!$B$10-'00_통제변수'!$B$9)*(A4-1)/MAX(1,'00_통제변수'!$B$6-1))</f>
        <v>1078.44</v>
      </c>
    </row>
    <row r="5" spans="1:14">
      <c r="A5" s="20">
        <v>2</v>
      </c>
      <c r="B5" s="20">
        <v>2027</v>
      </c>
      <c r="C5" s="20">
        <v>2</v>
      </c>
      <c r="D5" s="21">
        <f>'00_통제변수'!$D$16*(1+'00_통제변수'!$D$17)^(A5-1)</f>
        <v>11.988</v>
      </c>
      <c r="E5" s="22">
        <f t="shared" ref="E5:E36" si="3">E4+D5</f>
        <v>429.988</v>
      </c>
      <c r="F5" s="23">
        <f>'00_통제변수'!$D$18+('00_통제변수'!$D$19-'00_통제변수'!$D$18)*MIN(1,MAX(0,(A5-'00_통제변수'!$D$20+1)/MAX(1,'00_통제변수'!$D$21)))</f>
        <v>0.111</v>
      </c>
      <c r="G5" s="22">
        <f t="shared" ref="G5:G36" si="4">E4*F5</f>
        <v>46.398000000000003</v>
      </c>
      <c r="H5" s="22">
        <f t="shared" si="0"/>
        <v>58.386000000000003</v>
      </c>
      <c r="I5" s="24">
        <f>'00_통제변수'!$D$22+('00_통제변수'!$D$23-'00_통제변수'!$D$22)*MIN(1,MAX(0,(A5-'00_통제변수'!$D$24+1)/MAX(1,'00_통제변수'!$D$25)))</f>
        <v>1.2889999999999999</v>
      </c>
      <c r="J5" s="22">
        <f t="shared" si="1"/>
        <v>75.259553999999994</v>
      </c>
      <c r="K5" s="25">
        <f>IF(A5&gt;='00_통제변수'!$D$28,'00_통제변수'!$D$27,'00_통제변수'!$D$26)</f>
        <v>31846</v>
      </c>
      <c r="L5" s="26">
        <f t="shared" si="2"/>
        <v>239.67157566839998</v>
      </c>
      <c r="M5" s="26">
        <f>L5/(1-'00_통제변수'!$B$8)*'00_통제변수'!$B$11</f>
        <v>255.51340689594883</v>
      </c>
      <c r="N5" s="26">
        <f>E5*('00_통제변수'!$B$9+('00_통제변수'!$B$10-'00_통제변수'!$B$9)*(A5-1)/MAX(1,'00_통제변수'!$B$6-1))</f>
        <v>1103.6844528813558</v>
      </c>
    </row>
    <row r="6" spans="1:14">
      <c r="A6" s="20">
        <v>3</v>
      </c>
      <c r="B6" s="20">
        <v>2027</v>
      </c>
      <c r="C6" s="20">
        <v>3</v>
      </c>
      <c r="D6" s="21">
        <f>'00_통제변수'!$D$16*(1+'00_통제변수'!$D$17)^(A6-1)</f>
        <v>11.976012000000001</v>
      </c>
      <c r="E6" s="22">
        <f t="shared" si="3"/>
        <v>441.96401200000003</v>
      </c>
      <c r="F6" s="23">
        <f>'00_통제변수'!$D$18+('00_통제변수'!$D$19-'00_통제변수'!$D$18)*MIN(1,MAX(0,(A6-'00_통제변수'!$D$20+1)/MAX(1,'00_통제변수'!$D$21)))</f>
        <v>0.111</v>
      </c>
      <c r="G6" s="22">
        <f t="shared" si="4"/>
        <v>47.728667999999999</v>
      </c>
      <c r="H6" s="22">
        <f t="shared" si="0"/>
        <v>59.704679999999996</v>
      </c>
      <c r="I6" s="24">
        <f>'00_통제변수'!$D$22+('00_통제변수'!$D$23-'00_통제변수'!$D$22)*MIN(1,MAX(0,(A6-'00_통제변수'!$D$24+1)/MAX(1,'00_통제변수'!$D$25)))</f>
        <v>1.2889999999999999</v>
      </c>
      <c r="J6" s="22">
        <f t="shared" si="1"/>
        <v>76.95933251999999</v>
      </c>
      <c r="K6" s="25">
        <f>IF(A6&gt;='00_통제변수'!$D$28,'00_통제변수'!$D$27,'00_통제변수'!$D$26)</f>
        <v>31846</v>
      </c>
      <c r="L6" s="26">
        <f t="shared" si="2"/>
        <v>245.08469034319199</v>
      </c>
      <c r="M6" s="26">
        <f>L6/(1-'00_통제변수'!$B$8)*'00_통제변수'!$B$11</f>
        <v>261.28431806310448</v>
      </c>
      <c r="N6" s="26">
        <f>E6*('00_통제변수'!$B$9+('00_통제변수'!$B$10-'00_통제변수'!$B$9)*(A6-1)/MAX(1,'00_통제변수'!$B$6-1))</f>
        <v>1128.5813228461018</v>
      </c>
    </row>
    <row r="7" spans="1:14">
      <c r="A7" s="20">
        <v>4</v>
      </c>
      <c r="B7" s="20">
        <v>2027</v>
      </c>
      <c r="C7" s="20">
        <v>4</v>
      </c>
      <c r="D7" s="21">
        <f>'00_통제변수'!$D$16*(1+'00_통제변수'!$D$17)^(A7-1)</f>
        <v>11.964035987999999</v>
      </c>
      <c r="E7" s="22">
        <f t="shared" si="3"/>
        <v>453.928047988</v>
      </c>
      <c r="F7" s="23">
        <f>'00_통제변수'!$D$18+('00_통제변수'!$D$19-'00_통제변수'!$D$18)*MIN(1,MAX(0,(A7-'00_통제변수'!$D$20+1)/MAX(1,'00_통제변수'!$D$21)))</f>
        <v>0.111</v>
      </c>
      <c r="G7" s="22">
        <f t="shared" si="4"/>
        <v>49.058005332</v>
      </c>
      <c r="H7" s="22">
        <f t="shared" si="0"/>
        <v>61.02204132</v>
      </c>
      <c r="I7" s="24">
        <f>'00_통제변수'!$D$22+('00_통제변수'!$D$23-'00_통제변수'!$D$22)*MIN(1,MAX(0,(A7-'00_통제변수'!$D$24+1)/MAX(1,'00_통제변수'!$D$25)))</f>
        <v>1.2889999999999999</v>
      </c>
      <c r="J7" s="22">
        <f t="shared" si="1"/>
        <v>78.657411261479993</v>
      </c>
      <c r="K7" s="25">
        <f>IF(A7&gt;='00_통제변수'!$D$28,'00_통제변수'!$D$27,'00_통제변수'!$D$26)</f>
        <v>31846</v>
      </c>
      <c r="L7" s="26">
        <f t="shared" si="2"/>
        <v>250.4923919033092</v>
      </c>
      <c r="M7" s="26">
        <f>L7/(1-'00_통제변수'!$B$8)*'00_통제변수'!$B$11</f>
        <v>267.04945831909299</v>
      </c>
      <c r="N7" s="26">
        <f>E7*('00_통제변수'!$B$9+('00_통제변수'!$B$10-'00_통제변수'!$B$9)*(A7-1)/MAX(1,'00_통제변수'!$B$6-1))</f>
        <v>1153.1311158040924</v>
      </c>
    </row>
    <row r="8" spans="1:14">
      <c r="A8" s="20">
        <v>5</v>
      </c>
      <c r="B8" s="20">
        <v>2027</v>
      </c>
      <c r="C8" s="20">
        <v>5</v>
      </c>
      <c r="D8" s="21">
        <f>'00_통제변수'!$D$16*(1+'00_통제변수'!$D$17)^(A8-1)</f>
        <v>11.952071952012</v>
      </c>
      <c r="E8" s="22">
        <f t="shared" si="3"/>
        <v>465.88011994001198</v>
      </c>
      <c r="F8" s="23">
        <f>'00_통제변수'!$D$18+('00_통제변수'!$D$19-'00_통제변수'!$D$18)*MIN(1,MAX(0,(A8-'00_통제변수'!$D$20+1)/MAX(1,'00_통제변수'!$D$21)))</f>
        <v>0.111</v>
      </c>
      <c r="G8" s="22">
        <f t="shared" si="4"/>
        <v>50.386013326667999</v>
      </c>
      <c r="H8" s="22">
        <f t="shared" si="0"/>
        <v>62.338085278679998</v>
      </c>
      <c r="I8" s="24">
        <f>'00_통제변수'!$D$22+('00_통제변수'!$D$23-'00_통제변수'!$D$22)*MIN(1,MAX(0,(A8-'00_통제변수'!$D$24+1)/MAX(1,'00_통제변수'!$D$25)))</f>
        <v>1.2889999999999999</v>
      </c>
      <c r="J8" s="22">
        <f t="shared" si="1"/>
        <v>80.353791924218513</v>
      </c>
      <c r="K8" s="25">
        <f>IF(A8&gt;='00_통제변수'!$D$28,'00_통제변수'!$D$27,'00_통제변수'!$D$26)</f>
        <v>31846</v>
      </c>
      <c r="L8" s="26">
        <f t="shared" si="2"/>
        <v>255.89468576186624</v>
      </c>
      <c r="M8" s="26">
        <f>L8/(1-'00_통제변수'!$B$8)*'00_통제변수'!$B$11</f>
        <v>272.80883343482543</v>
      </c>
      <c r="N8" s="26">
        <f>E8*('00_통제변수'!$B$9+('00_통제변수'!$B$10-'00_통제변수'!$B$9)*(A8-1)/MAX(1,'00_통제변수'!$B$6-1))</f>
        <v>1177.3343370009454</v>
      </c>
    </row>
    <row r="9" spans="1:14">
      <c r="A9" s="20">
        <v>6</v>
      </c>
      <c r="B9" s="20">
        <v>2027</v>
      </c>
      <c r="C9" s="20">
        <v>6</v>
      </c>
      <c r="D9" s="21">
        <f>'00_통제변수'!$D$16*(1+'00_통제변수'!$D$17)^(A9-1)</f>
        <v>11.940119880059989</v>
      </c>
      <c r="E9" s="22">
        <f t="shared" si="3"/>
        <v>477.82023982007195</v>
      </c>
      <c r="F9" s="23">
        <f>'00_통제변수'!$D$18+('00_통제변수'!$D$19-'00_통제변수'!$D$18)*MIN(1,MAX(0,(A9-'00_통제변수'!$D$20+1)/MAX(1,'00_통제변수'!$D$21)))</f>
        <v>0.11192857142857143</v>
      </c>
      <c r="G9" s="22">
        <f t="shared" si="4"/>
        <v>52.145296281857057</v>
      </c>
      <c r="H9" s="22">
        <f t="shared" si="0"/>
        <v>64.085416161917038</v>
      </c>
      <c r="I9" s="24">
        <f>'00_통제변수'!$D$22+('00_통제변수'!$D$23-'00_통제변수'!$D$22)*MIN(1,MAX(0,(A9-'00_통제변수'!$D$24+1)/MAX(1,'00_통제변수'!$D$25)))</f>
        <v>1.3060333333333332</v>
      </c>
      <c r="J9" s="22">
        <f t="shared" si="1"/>
        <v>83.69768968800237</v>
      </c>
      <c r="K9" s="25">
        <f>IF(A9&gt;='00_통제변수'!$D$28,'00_통제변수'!$D$27,'00_통제변수'!$D$26)</f>
        <v>26000</v>
      </c>
      <c r="L9" s="26">
        <f t="shared" si="2"/>
        <v>217.61399318880615</v>
      </c>
      <c r="M9" s="26">
        <f>L9/(1-'00_통제변수'!$B$8)*'00_통제변수'!$B$11</f>
        <v>231.99786054243728</v>
      </c>
      <c r="N9" s="26">
        <f>E9*('00_통제변수'!$B$9+('00_통제변수'!$B$10-'00_통제변수'!$B$9)*(A9-1)/MAX(1,'00_통제변수'!$B$6-1))</f>
        <v>1201.1914910188655</v>
      </c>
    </row>
    <row r="10" spans="1:14">
      <c r="A10" s="20">
        <v>7</v>
      </c>
      <c r="B10" s="20">
        <v>2027</v>
      </c>
      <c r="C10" s="20">
        <v>7</v>
      </c>
      <c r="D10" s="21">
        <f>'00_통제변수'!$D$16*(1+'00_통제변수'!$D$17)^(A10-1)</f>
        <v>11.92817976017993</v>
      </c>
      <c r="E10" s="22">
        <f t="shared" si="3"/>
        <v>489.74841958025189</v>
      </c>
      <c r="F10" s="23">
        <f>'00_통제변수'!$D$18+('00_통제변수'!$D$19-'00_통제변수'!$D$18)*MIN(1,MAX(0,(A10-'00_통제변수'!$D$20+1)/MAX(1,'00_통제변수'!$D$21)))</f>
        <v>0.11285714285714286</v>
      </c>
      <c r="G10" s="22">
        <f t="shared" si="4"/>
        <v>53.925427065408122</v>
      </c>
      <c r="H10" s="22">
        <f t="shared" si="0"/>
        <v>65.853606825588059</v>
      </c>
      <c r="I10" s="24">
        <f>'00_통제변수'!$D$22+('00_통제변수'!$D$23-'00_통제변수'!$D$22)*MIN(1,MAX(0,(A10-'00_통제변수'!$D$24+1)/MAX(1,'00_통제변수'!$D$25)))</f>
        <v>1.3230666666666666</v>
      </c>
      <c r="J10" s="22">
        <f t="shared" si="1"/>
        <v>87.128712070708033</v>
      </c>
      <c r="K10" s="25">
        <f>IF(A10&gt;='00_통제변수'!$D$28,'00_통제변수'!$D$27,'00_통제변수'!$D$26)</f>
        <v>26000</v>
      </c>
      <c r="L10" s="26">
        <f t="shared" si="2"/>
        <v>226.5346513838409</v>
      </c>
      <c r="M10" s="26">
        <f>L10/(1-'00_통제변수'!$B$8)*'00_통제변수'!$B$11</f>
        <v>241.50815712562996</v>
      </c>
      <c r="N10" s="26">
        <f>E10*('00_통제변수'!$B$9+('00_통제변수'!$B$10-'00_통제변수'!$B$9)*(A10-1)/MAX(1,'00_통제변수'!$B$6-1))</f>
        <v>1224.7030817774639</v>
      </c>
    </row>
    <row r="11" spans="1:14">
      <c r="A11" s="20">
        <v>8</v>
      </c>
      <c r="B11" s="20">
        <v>2027</v>
      </c>
      <c r="C11" s="20">
        <v>8</v>
      </c>
      <c r="D11" s="21">
        <f>'00_통제변수'!$D$16*(1+'00_통제변수'!$D$17)^(A11-1)</f>
        <v>11.916251580419749</v>
      </c>
      <c r="E11" s="22">
        <f t="shared" si="3"/>
        <v>501.66467116067162</v>
      </c>
      <c r="F11" s="23">
        <f>'00_통제변수'!$D$18+('00_통제변수'!$D$19-'00_통제변수'!$D$18)*MIN(1,MAX(0,(A11-'00_통제변수'!$D$20+1)/MAX(1,'00_통제변수'!$D$21)))</f>
        <v>0.11378571428571428</v>
      </c>
      <c r="G11" s="22">
        <f t="shared" si="4"/>
        <v>55.726373742238657</v>
      </c>
      <c r="H11" s="22">
        <f t="shared" si="0"/>
        <v>67.642625322658404</v>
      </c>
      <c r="I11" s="24">
        <f>'00_통제변수'!$D$22+('00_통제변수'!$D$23-'00_통제변수'!$D$22)*MIN(1,MAX(0,(A11-'00_통제변수'!$D$24+1)/MAX(1,'00_통제변수'!$D$25)))</f>
        <v>1.3400999999999998</v>
      </c>
      <c r="J11" s="22">
        <f t="shared" si="1"/>
        <v>90.647882194894521</v>
      </c>
      <c r="K11" s="25">
        <f>IF(A11&gt;='00_통제변수'!$D$28,'00_통제변수'!$D$27,'00_통제변수'!$D$26)</f>
        <v>26000</v>
      </c>
      <c r="L11" s="26">
        <f t="shared" si="2"/>
        <v>235.68449370672576</v>
      </c>
      <c r="M11" s="26">
        <f>L11/(1-'00_통제변수'!$B$8)*'00_통제변수'!$B$11</f>
        <v>251.26278646772471</v>
      </c>
      <c r="N11" s="26">
        <f>E11*('00_통제변수'!$B$9+('00_통제변수'!$B$10-'00_통제변수'!$B$9)*(A11-1)/MAX(1,'00_통제변수'!$B$6-1))</f>
        <v>1247.8696125345791</v>
      </c>
    </row>
    <row r="12" spans="1:14">
      <c r="A12" s="20">
        <v>9</v>
      </c>
      <c r="B12" s="20">
        <v>2027</v>
      </c>
      <c r="C12" s="20">
        <v>9</v>
      </c>
      <c r="D12" s="21">
        <f>'00_통제변수'!$D$16*(1+'00_통제변수'!$D$17)^(A12-1)</f>
        <v>11.904335328839329</v>
      </c>
      <c r="E12" s="22">
        <f t="shared" si="3"/>
        <v>513.56900648951091</v>
      </c>
      <c r="F12" s="23">
        <f>'00_통제변수'!$D$18+('00_통제변수'!$D$19-'00_통제변수'!$D$18)*MIN(1,MAX(0,(A12-'00_통제변수'!$D$20+1)/MAX(1,'00_통제변수'!$D$21)))</f>
        <v>0.11471428571428571</v>
      </c>
      <c r="G12" s="22">
        <f t="shared" si="4"/>
        <v>57.548104420288475</v>
      </c>
      <c r="H12" s="22">
        <f t="shared" si="0"/>
        <v>69.452439749127805</v>
      </c>
      <c r="I12" s="24">
        <f>'00_통제변수'!$D$22+('00_통제변수'!$D$23-'00_통제변수'!$D$22)*MIN(1,MAX(0,(A12-'00_통제변수'!$D$24+1)/MAX(1,'00_통제변수'!$D$25)))</f>
        <v>1.3571333333333333</v>
      </c>
      <c r="J12" s="22">
        <f t="shared" si="1"/>
        <v>94.25622106486631</v>
      </c>
      <c r="K12" s="25">
        <f>IF(A12&gt;='00_통제변수'!$D$28,'00_통제변수'!$D$27,'00_통제변수'!$D$26)</f>
        <v>26000</v>
      </c>
      <c r="L12" s="26">
        <f t="shared" si="2"/>
        <v>245.06617476865239</v>
      </c>
      <c r="M12" s="26">
        <f>L12/(1-'00_통제변수'!$B$8)*'00_통제변수'!$B$11</f>
        <v>261.26457864461878</v>
      </c>
      <c r="N12" s="26">
        <f>E12*('00_통제변수'!$B$9+('00_통제변수'!$B$10-'00_통제변수'!$B$9)*(A12-1)/MAX(1,'00_통제변수'!$B$6-1))</f>
        <v>1270.6915858870984</v>
      </c>
    </row>
    <row r="13" spans="1:14">
      <c r="A13" s="20">
        <v>10</v>
      </c>
      <c r="B13" s="20">
        <v>2027</v>
      </c>
      <c r="C13" s="20">
        <v>10</v>
      </c>
      <c r="D13" s="21">
        <f>'00_통제변수'!$D$16*(1+'00_통제변수'!$D$17)^(A13-1)</f>
        <v>11.892430993510491</v>
      </c>
      <c r="E13" s="22">
        <f t="shared" si="3"/>
        <v>525.46143748302143</v>
      </c>
      <c r="F13" s="23">
        <f>'00_통제변수'!$D$18+('00_통제변수'!$D$19-'00_통제변수'!$D$18)*MIN(1,MAX(0,(A13-'00_통제변수'!$D$20+1)/MAX(1,'00_통제변수'!$D$21)))</f>
        <v>0.11564285714285714</v>
      </c>
      <c r="G13" s="22">
        <f t="shared" si="4"/>
        <v>59.390587250465586</v>
      </c>
      <c r="H13" s="22">
        <f t="shared" si="0"/>
        <v>71.283018243976073</v>
      </c>
      <c r="I13" s="24">
        <f>'00_통제변수'!$D$22+('00_통제변수'!$D$23-'00_통제변수'!$D$22)*MIN(1,MAX(0,(A13-'00_통제변수'!$D$24+1)/MAX(1,'00_통제변수'!$D$25)))</f>
        <v>1.3741666666666665</v>
      </c>
      <c r="J13" s="22">
        <f t="shared" si="1"/>
        <v>97.954747570263777</v>
      </c>
      <c r="K13" s="25">
        <f>IF(A13&gt;='00_통제변수'!$D$28,'00_통제변수'!$D$27,'00_통제변수'!$D$26)</f>
        <v>26000</v>
      </c>
      <c r="L13" s="26">
        <f t="shared" si="2"/>
        <v>254.68234368268583</v>
      </c>
      <c r="M13" s="26">
        <f>L13/(1-'00_통제변수'!$B$8)*'00_통제변수'!$B$11</f>
        <v>271.51635787066721</v>
      </c>
      <c r="N13" s="26">
        <f>E13*('00_통제변수'!$B$9+('00_통제변수'!$B$10-'00_통제변수'!$B$9)*(A13-1)/MAX(1,'00_통제변수'!$B$6-1))</f>
        <v>1293.1695037717748</v>
      </c>
    </row>
    <row r="14" spans="1:14">
      <c r="A14" s="20">
        <v>11</v>
      </c>
      <c r="B14" s="20">
        <v>2027</v>
      </c>
      <c r="C14" s="20">
        <v>11</v>
      </c>
      <c r="D14" s="21">
        <f>'00_통제변수'!$D$16*(1+'00_통제변수'!$D$17)^(A14-1)</f>
        <v>11.88053856251698</v>
      </c>
      <c r="E14" s="22">
        <f t="shared" si="3"/>
        <v>537.34197604553844</v>
      </c>
      <c r="F14" s="23">
        <f>'00_통제변수'!$D$18+('00_통제변수'!$D$19-'00_통제변수'!$D$18)*MIN(1,MAX(0,(A14-'00_통제변수'!$D$20+1)/MAX(1,'00_통제변수'!$D$21)))</f>
        <v>0.11657142857142858</v>
      </c>
      <c r="G14" s="22">
        <f t="shared" si="4"/>
        <v>61.253790426592218</v>
      </c>
      <c r="H14" s="22">
        <f t="shared" si="0"/>
        <v>73.134328989109193</v>
      </c>
      <c r="I14" s="24">
        <f>'00_통제변수'!$D$22+('00_통제변수'!$D$23-'00_통제변수'!$D$22)*MIN(1,MAX(0,(A14-'00_통제변수'!$D$24+1)/MAX(1,'00_통제변수'!$D$25)))</f>
        <v>1.3912</v>
      </c>
      <c r="J14" s="22">
        <f t="shared" si="1"/>
        <v>101.74447848964871</v>
      </c>
      <c r="K14" s="25">
        <f>IF(A14&gt;='00_통제변수'!$D$28,'00_통제변수'!$D$27,'00_통제변수'!$D$26)</f>
        <v>26000</v>
      </c>
      <c r="L14" s="26">
        <f t="shared" si="2"/>
        <v>264.53564407308664</v>
      </c>
      <c r="M14" s="26">
        <f>L14/(1-'00_통제변수'!$B$8)*'00_통제변수'!$B$11</f>
        <v>282.02094250862115</v>
      </c>
      <c r="N14" s="26">
        <f>E14*('00_통제변수'!$B$9+('00_통제변수'!$B$10-'00_통제변수'!$B$9)*(A14-1)/MAX(1,'00_통제변수'!$B$6-1))</f>
        <v>1315.3038674660452</v>
      </c>
    </row>
    <row r="15" spans="1:14">
      <c r="A15" s="27">
        <v>12</v>
      </c>
      <c r="B15" s="27">
        <v>2027</v>
      </c>
      <c r="C15" s="27">
        <v>12</v>
      </c>
      <c r="D15" s="28">
        <f>'00_통제변수'!$D$16*(1+'00_통제변수'!$D$17)^(A15-1)</f>
        <v>11.868658023954463</v>
      </c>
      <c r="E15" s="29">
        <f t="shared" si="3"/>
        <v>549.21063406949293</v>
      </c>
      <c r="F15" s="30">
        <f>'00_통제변수'!$D$18+('00_통제변수'!$D$19-'00_통제변수'!$D$18)*MIN(1,MAX(0,(A15-'00_통제변수'!$D$20+1)/MAX(1,'00_통제변수'!$D$21)))</f>
        <v>0.11749999999999999</v>
      </c>
      <c r="G15" s="29">
        <f t="shared" si="4"/>
        <v>63.137682185350762</v>
      </c>
      <c r="H15" s="29">
        <f t="shared" si="0"/>
        <v>75.006340209305222</v>
      </c>
      <c r="I15" s="31">
        <f>'00_통제변수'!$D$22+('00_통제변수'!$D$23-'00_통제변수'!$D$22)*MIN(1,MAX(0,(A15-'00_통제변수'!$D$24+1)/MAX(1,'00_통제변수'!$D$25)))</f>
        <v>1.4082333333333332</v>
      </c>
      <c r="J15" s="29">
        <f t="shared" si="1"/>
        <v>105.62642849408391</v>
      </c>
      <c r="K15" s="32">
        <f>IF(A15&gt;='00_통제변수'!$D$28,'00_통제변수'!$D$27,'00_통제변수'!$D$26)</f>
        <v>26000</v>
      </c>
      <c r="L15" s="33">
        <f t="shared" si="2"/>
        <v>274.62871408461814</v>
      </c>
      <c r="M15" s="33">
        <f>L15/(1-'00_통제변수'!$B$8)*'00_통제변수'!$B$11</f>
        <v>292.7811450795503</v>
      </c>
      <c r="N15" s="33">
        <f>E15*('00_통제변수'!$B$9+('00_통제변수'!$B$10-'00_통제변수'!$B$9)*(A15-1)/MAX(1,'00_통제변수'!$B$6-1))</f>
        <v>1337.0951775888468</v>
      </c>
    </row>
    <row r="16" spans="1:14">
      <c r="A16" s="20">
        <v>13</v>
      </c>
      <c r="B16" s="20">
        <v>2028</v>
      </c>
      <c r="C16" s="20">
        <v>1</v>
      </c>
      <c r="D16" s="21">
        <f>'00_통제변수'!$D$16*(1+'00_통제변수'!$D$17)^(A16-1)</f>
        <v>11.856789365930508</v>
      </c>
      <c r="E16" s="22">
        <f t="shared" si="3"/>
        <v>561.06742343542339</v>
      </c>
      <c r="F16" s="23">
        <f>'00_통제변수'!$D$18+('00_통제변수'!$D$19-'00_통제변수'!$D$18)*MIN(1,MAX(0,(A16-'00_통제변수'!$D$20+1)/MAX(1,'00_통제변수'!$D$21)))</f>
        <v>0.11842857142857142</v>
      </c>
      <c r="G16" s="22">
        <f t="shared" si="4"/>
        <v>65.042230806229952</v>
      </c>
      <c r="H16" s="22">
        <f t="shared" si="0"/>
        <v>76.899020172160462</v>
      </c>
      <c r="I16" s="24">
        <f>'00_통제변수'!$D$22+('00_통제변수'!$D$23-'00_통제변수'!$D$22)*MIN(1,MAX(0,(A16-'00_통제변수'!$D$24+1)/MAX(1,'00_통제변수'!$D$25)))</f>
        <v>1.4252666666666667</v>
      </c>
      <c r="J16" s="22">
        <f t="shared" si="1"/>
        <v>109.6016101507079</v>
      </c>
      <c r="K16" s="25">
        <f>IF(A16&gt;='00_통제변수'!$D$28,'00_통제변수'!$D$27,'00_통제변수'!$D$26)</f>
        <v>26000</v>
      </c>
      <c r="L16" s="26">
        <f t="shared" si="2"/>
        <v>284.96418639184054</v>
      </c>
      <c r="M16" s="26">
        <f>L16/(1-'00_통제변수'!$B$8)*'00_통제변수'!$B$11</f>
        <v>303.79977227275111</v>
      </c>
      <c r="N16" s="26">
        <f>E16*('00_통제변수'!$B$9+('00_통제변수'!$B$10-'00_통제변수'!$B$9)*(A16-1)/MAX(1,'00_통제변수'!$B$6-1))</f>
        <v>1358.5439341014337</v>
      </c>
    </row>
    <row r="17" spans="1:14">
      <c r="A17" s="20">
        <v>14</v>
      </c>
      <c r="B17" s="20">
        <v>2028</v>
      </c>
      <c r="C17" s="20">
        <v>2</v>
      </c>
      <c r="D17" s="21">
        <f>'00_통제변수'!$D$16*(1+'00_통제변수'!$D$17)^(A17-1)</f>
        <v>11.844932576564577</v>
      </c>
      <c r="E17" s="22">
        <f t="shared" si="3"/>
        <v>572.91235601198798</v>
      </c>
      <c r="F17" s="23">
        <f>'00_통제변수'!$D$18+('00_통제변수'!$D$19-'00_통제변수'!$D$18)*MIN(1,MAX(0,(A17-'00_통제변수'!$D$20+1)/MAX(1,'00_통제변수'!$D$21)))</f>
        <v>0.11935714285714286</v>
      </c>
      <c r="G17" s="22">
        <f t="shared" si="4"/>
        <v>66.967404611470897</v>
      </c>
      <c r="H17" s="22">
        <f t="shared" si="0"/>
        <v>78.812337188035471</v>
      </c>
      <c r="I17" s="24">
        <f>'00_통제변수'!$D$22+('00_통제변수'!$D$23-'00_통제변수'!$D$22)*MIN(1,MAX(0,(A17-'00_통제변수'!$D$24+1)/MAX(1,'00_통제변수'!$D$25)))</f>
        <v>1.4422999999999999</v>
      </c>
      <c r="J17" s="22">
        <f t="shared" si="1"/>
        <v>113.67103392630355</v>
      </c>
      <c r="K17" s="25">
        <f>IF(A17&gt;='00_통제변수'!$D$28,'00_통제변수'!$D$27,'00_통제변수'!$D$26)</f>
        <v>26000</v>
      </c>
      <c r="L17" s="26">
        <f t="shared" si="2"/>
        <v>295.54468820838923</v>
      </c>
      <c r="M17" s="26">
        <f>L17/(1-'00_통제변수'!$B$8)*'00_통제변수'!$B$11</f>
        <v>315.07962495563885</v>
      </c>
      <c r="N17" s="26">
        <f>E17*('00_통제변수'!$B$9+('00_통제변수'!$B$10-'00_통제변수'!$B$9)*(A17-1)/MAX(1,'00_통제변수'!$B$6-1))</f>
        <v>1379.6506363081908</v>
      </c>
    </row>
    <row r="18" spans="1:14">
      <c r="A18" s="20">
        <v>15</v>
      </c>
      <c r="B18" s="20">
        <v>2028</v>
      </c>
      <c r="C18" s="20">
        <v>3</v>
      </c>
      <c r="D18" s="21">
        <f>'00_통제변수'!$D$16*(1+'00_통제변수'!$D$17)^(A18-1)</f>
        <v>11.833087643988014</v>
      </c>
      <c r="E18" s="22">
        <f t="shared" si="3"/>
        <v>584.74544365597603</v>
      </c>
      <c r="F18" s="23">
        <f>'00_통제변수'!$D$18+('00_통제변수'!$D$19-'00_통제변수'!$D$18)*MIN(1,MAX(0,(A18-'00_통제변수'!$D$20+1)/MAX(1,'00_통제변수'!$D$21)))</f>
        <v>0.12028571428571429</v>
      </c>
      <c r="G18" s="22">
        <f t="shared" si="4"/>
        <v>68.913171966013408</v>
      </c>
      <c r="H18" s="22">
        <f t="shared" si="0"/>
        <v>80.746259610001417</v>
      </c>
      <c r="I18" s="24">
        <f>'00_통제변수'!$D$22+('00_통제변수'!$D$23-'00_통제변수'!$D$22)*MIN(1,MAX(0,(A18-'00_통제변수'!$D$24+1)/MAX(1,'00_통제변수'!$D$25)))</f>
        <v>1.4593333333333334</v>
      </c>
      <c r="J18" s="22">
        <f t="shared" si="1"/>
        <v>117.83570819086206</v>
      </c>
      <c r="K18" s="25">
        <f>IF(A18&gt;='00_통제변수'!$D$28,'00_통제변수'!$D$27,'00_통제변수'!$D$26)</f>
        <v>26000</v>
      </c>
      <c r="L18" s="26">
        <f t="shared" si="2"/>
        <v>306.3728412962414</v>
      </c>
      <c r="M18" s="26">
        <f>L18/(1-'00_통제변수'!$B$8)*'00_통제변수'!$B$11</f>
        <v>326.62349818362622</v>
      </c>
      <c r="N18" s="26">
        <f>E18*('00_통제변수'!$B$9+('00_통제변수'!$B$10-'00_통제변수'!$B$9)*(A18-1)/MAX(1,'00_통제변수'!$B$6-1))</f>
        <v>1400.4157828574478</v>
      </c>
    </row>
    <row r="19" spans="1:14">
      <c r="A19" s="20">
        <v>16</v>
      </c>
      <c r="B19" s="20">
        <v>2028</v>
      </c>
      <c r="C19" s="20">
        <v>4</v>
      </c>
      <c r="D19" s="21">
        <f>'00_통제변수'!$D$16*(1+'00_통제변수'!$D$17)^(A19-1)</f>
        <v>11.821254556344025</v>
      </c>
      <c r="E19" s="22">
        <f t="shared" si="3"/>
        <v>596.56669821232003</v>
      </c>
      <c r="F19" s="23">
        <f>'00_통제변수'!$D$18+('00_통제변수'!$D$19-'00_통제변수'!$D$18)*MIN(1,MAX(0,(A19-'00_통제변수'!$D$20+1)/MAX(1,'00_통제변수'!$D$21)))</f>
        <v>0.12121428571428572</v>
      </c>
      <c r="G19" s="22">
        <f t="shared" si="4"/>
        <v>70.879501277442245</v>
      </c>
      <c r="H19" s="22">
        <f t="shared" si="0"/>
        <v>82.700755833786275</v>
      </c>
      <c r="I19" s="24">
        <f>'00_통제변수'!$D$22+('00_통제변수'!$D$23-'00_통제변수'!$D$22)*MIN(1,MAX(0,(A19-'00_통제변수'!$D$24+1)/MAX(1,'00_통제변수'!$D$25)))</f>
        <v>1.4763666666666666</v>
      </c>
      <c r="J19" s="22">
        <f t="shared" si="1"/>
        <v>122.09663922114092</v>
      </c>
      <c r="K19" s="25">
        <f>IF(A19&gt;='00_통제변수'!$D$28,'00_통제변수'!$D$27,'00_통제변수'!$D$26)</f>
        <v>26000</v>
      </c>
      <c r="L19" s="26">
        <f t="shared" si="2"/>
        <v>317.45126197496637</v>
      </c>
      <c r="M19" s="26">
        <f>L19/(1-'00_통제변수'!$B$8)*'00_통제변수'!$B$11</f>
        <v>338.43418120998547</v>
      </c>
      <c r="N19" s="26">
        <f>E19*('00_통제변수'!$B$9+('00_통제변수'!$B$10-'00_통제변수'!$B$9)*(A19-1)/MAX(1,'00_통제변수'!$B$6-1))</f>
        <v>1420.8398717422917</v>
      </c>
    </row>
    <row r="20" spans="1:14">
      <c r="A20" s="20">
        <v>17</v>
      </c>
      <c r="B20" s="20">
        <v>2028</v>
      </c>
      <c r="C20" s="20">
        <v>5</v>
      </c>
      <c r="D20" s="21">
        <f>'00_통제변수'!$D$16*(1+'00_통제변수'!$D$17)^(A20-1)</f>
        <v>11.809433301787681</v>
      </c>
      <c r="E20" s="22">
        <f t="shared" si="3"/>
        <v>608.37613151410767</v>
      </c>
      <c r="F20" s="23">
        <f>'00_통제변수'!$D$18+('00_통제변수'!$D$19-'00_통제변수'!$D$18)*MIN(1,MAX(0,(A20-'00_통제변수'!$D$20+1)/MAX(1,'00_통제변수'!$D$21)))</f>
        <v>0.12214285714285714</v>
      </c>
      <c r="G20" s="22">
        <f t="shared" si="4"/>
        <v>72.866360995933377</v>
      </c>
      <c r="H20" s="22">
        <f t="shared" si="0"/>
        <v>84.675794297721055</v>
      </c>
      <c r="I20" s="24">
        <f>'00_통제변수'!$D$22+('00_통제변수'!$D$23-'00_통제변수'!$D$22)*MIN(1,MAX(0,(A20-'00_통제변수'!$D$24+1)/MAX(1,'00_통제변수'!$D$25)))</f>
        <v>1.4934000000000001</v>
      </c>
      <c r="J20" s="22">
        <f t="shared" si="1"/>
        <v>126.45483120421663</v>
      </c>
      <c r="K20" s="25">
        <f>IF(A20&gt;='00_통제변수'!$D$28,'00_통제변수'!$D$27,'00_통제변수'!$D$26)</f>
        <v>26000</v>
      </c>
      <c r="L20" s="26">
        <f t="shared" si="2"/>
        <v>328.78256113096324</v>
      </c>
      <c r="M20" s="26">
        <f>L20/(1-'00_통제변수'!$B$8)*'00_통제변수'!$B$11</f>
        <v>350.51445749569643</v>
      </c>
      <c r="N20" s="26">
        <f>E20*('00_통제변수'!$B$9+('00_통제변수'!$B$10-'00_통제변수'!$B$9)*(A20-1)/MAX(1,'00_통제변수'!$B$6-1))</f>
        <v>1440.9234003013796</v>
      </c>
    </row>
    <row r="21" spans="1:14">
      <c r="A21" s="20">
        <v>18</v>
      </c>
      <c r="B21" s="20">
        <v>2028</v>
      </c>
      <c r="C21" s="20">
        <v>6</v>
      </c>
      <c r="D21" s="21">
        <f>'00_통제변수'!$D$16*(1+'00_통제변수'!$D$17)^(A21-1)</f>
        <v>11.797623868485895</v>
      </c>
      <c r="E21" s="22">
        <f t="shared" si="3"/>
        <v>620.17375538259353</v>
      </c>
      <c r="F21" s="23">
        <f>'00_통제변수'!$D$18+('00_통제변수'!$D$19-'00_통제변수'!$D$18)*MIN(1,MAX(0,(A21-'00_통제변수'!$D$20+1)/MAX(1,'00_통제변수'!$D$21)))</f>
        <v>0.12307142857142857</v>
      </c>
      <c r="G21" s="22">
        <f t="shared" si="4"/>
        <v>74.873719614200539</v>
      </c>
      <c r="H21" s="22">
        <f t="shared" si="0"/>
        <v>86.671343482686439</v>
      </c>
      <c r="I21" s="24">
        <f>'00_통제변수'!$D$22+('00_통제변수'!$D$23-'00_통제변수'!$D$22)*MIN(1,MAX(0,(A21-'00_통제변수'!$D$24+1)/MAX(1,'00_통제변수'!$D$25)))</f>
        <v>1.5104333333333333</v>
      </c>
      <c r="J21" s="22">
        <f t="shared" si="1"/>
        <v>130.91128624103234</v>
      </c>
      <c r="K21" s="25">
        <f>IF(A21&gt;='00_통제변수'!$D$28,'00_통제변수'!$D$27,'00_통제변수'!$D$26)</f>
        <v>26000</v>
      </c>
      <c r="L21" s="26">
        <f t="shared" si="2"/>
        <v>340.36934422668412</v>
      </c>
      <c r="M21" s="26">
        <f>L21/(1-'00_통제변수'!$B$8)*'00_통제변수'!$B$11</f>
        <v>362.86710471927944</v>
      </c>
      <c r="N21" s="26">
        <f>E21*('00_통제변수'!$B$9+('00_통제변수'!$B$10-'00_통제변수'!$B$9)*(A21-1)/MAX(1,'00_통제변수'!$B$6-1))</f>
        <v>1460.6668652197493</v>
      </c>
    </row>
    <row r="22" spans="1:14">
      <c r="A22" s="20">
        <v>19</v>
      </c>
      <c r="B22" s="20">
        <v>2028</v>
      </c>
      <c r="C22" s="20">
        <v>7</v>
      </c>
      <c r="D22" s="21">
        <f>'00_통제변수'!$D$16*(1+'00_통제변수'!$D$17)^(A22-1)</f>
        <v>11.785826244617407</v>
      </c>
      <c r="E22" s="22">
        <f t="shared" si="3"/>
        <v>631.95958162721092</v>
      </c>
      <c r="F22" s="23">
        <f>'00_통제변수'!$D$18+('00_통제변수'!$D$19-'00_통제변수'!$D$18)*MIN(1,MAX(0,(A22-'00_통제변수'!$D$20+1)/MAX(1,'00_통제변수'!$D$21)))</f>
        <v>0.124</v>
      </c>
      <c r="G22" s="22">
        <f t="shared" si="4"/>
        <v>76.901545667441596</v>
      </c>
      <c r="H22" s="22">
        <f t="shared" si="0"/>
        <v>88.687371912059007</v>
      </c>
      <c r="I22" s="24">
        <f>'00_통제변수'!$D$22+('00_통제변수'!$D$23-'00_통제변수'!$D$22)*MIN(1,MAX(0,(A22-'00_통제변수'!$D$24+1)/MAX(1,'00_통제변수'!$D$25)))</f>
        <v>1.5274666666666668</v>
      </c>
      <c r="J22" s="22">
        <f t="shared" si="1"/>
        <v>135.46700434993974</v>
      </c>
      <c r="K22" s="25">
        <f>IF(A22&gt;='00_통제변수'!$D$28,'00_통제변수'!$D$27,'00_통제변수'!$D$26)</f>
        <v>26000</v>
      </c>
      <c r="L22" s="26">
        <f t="shared" si="2"/>
        <v>352.21421130984334</v>
      </c>
      <c r="M22" s="26">
        <f>L22/(1-'00_통제변수'!$B$8)*'00_통제변수'!$B$11</f>
        <v>375.49489478661337</v>
      </c>
      <c r="N22" s="26">
        <f>E22*('00_통제변수'!$B$9+('00_통제변수'!$B$10-'00_통제변수'!$B$9)*(A22-1)/MAX(1,'00_통제변수'!$B$6-1))</f>
        <v>1480.0707625296272</v>
      </c>
    </row>
    <row r="23" spans="1:14">
      <c r="A23" s="20">
        <v>20</v>
      </c>
      <c r="B23" s="20">
        <v>2028</v>
      </c>
      <c r="C23" s="20">
        <v>8</v>
      </c>
      <c r="D23" s="21">
        <f>'00_통제변수'!$D$16*(1+'00_통제변수'!$D$17)^(A23-1)</f>
        <v>11.774040418372792</v>
      </c>
      <c r="E23" s="22">
        <f t="shared" si="3"/>
        <v>643.73362204558373</v>
      </c>
      <c r="F23" s="23">
        <f>'00_통제변수'!$D$18+('00_통제변수'!$D$19-'00_통제변수'!$D$18)*MIN(1,MAX(0,(A23-'00_통제변수'!$D$20+1)/MAX(1,'00_통제변수'!$D$21)))</f>
        <v>0.12492857142857143</v>
      </c>
      <c r="G23" s="22">
        <f t="shared" si="4"/>
        <v>78.949807733285141</v>
      </c>
      <c r="H23" s="22">
        <f t="shared" si="0"/>
        <v>90.723848151657933</v>
      </c>
      <c r="I23" s="24">
        <f>'00_통제변수'!$D$22+('00_통제변수'!$D$23-'00_통제변수'!$D$22)*MIN(1,MAX(0,(A23-'00_통제변수'!$D$24+1)/MAX(1,'00_통제변수'!$D$25)))</f>
        <v>1.5445</v>
      </c>
      <c r="J23" s="22">
        <f t="shared" si="1"/>
        <v>140.12298347023568</v>
      </c>
      <c r="K23" s="25">
        <f>IF(A23&gt;='00_통제변수'!$D$28,'00_통제변수'!$D$27,'00_통제변수'!$D$26)</f>
        <v>26000</v>
      </c>
      <c r="L23" s="26">
        <f t="shared" si="2"/>
        <v>364.31975702261275</v>
      </c>
      <c r="M23" s="26">
        <f>L23/(1-'00_통제변수'!$B$8)*'00_통제변수'!$B$11</f>
        <v>388.40059384073857</v>
      </c>
      <c r="N23" s="26">
        <f>E23*('00_통제변수'!$B$9+('00_통제변수'!$B$10-'00_통제변수'!$B$9)*(A23-1)/MAX(1,'00_통제변수'!$B$6-1))</f>
        <v>1499.1355876112407</v>
      </c>
    </row>
    <row r="24" spans="1:14">
      <c r="A24" s="20">
        <v>21</v>
      </c>
      <c r="B24" s="20">
        <v>2028</v>
      </c>
      <c r="C24" s="20">
        <v>9</v>
      </c>
      <c r="D24" s="21">
        <f>'00_통제변수'!$D$16*(1+'00_통제변수'!$D$17)^(A24-1)</f>
        <v>11.762266377954418</v>
      </c>
      <c r="E24" s="22">
        <f t="shared" si="3"/>
        <v>655.49588842353819</v>
      </c>
      <c r="F24" s="23">
        <f>'00_통제변수'!$D$18+('00_통제변수'!$D$19-'00_통제변수'!$D$18)*MIN(1,MAX(0,(A24-'00_통제변수'!$D$20+1)/MAX(1,'00_통제변수'!$D$21)))</f>
        <v>0.12585714285714286</v>
      </c>
      <c r="G24" s="22">
        <f t="shared" si="4"/>
        <v>81.018474431737047</v>
      </c>
      <c r="H24" s="22">
        <f t="shared" si="0"/>
        <v>92.780740809691466</v>
      </c>
      <c r="I24" s="24">
        <f>'00_통제변수'!$D$22+('00_통제변수'!$D$23-'00_통제변수'!$D$22)*MIN(1,MAX(0,(A24-'00_통제변수'!$D$24+1)/MAX(1,'00_통제변수'!$D$25)))</f>
        <v>1.5615333333333332</v>
      </c>
      <c r="J24" s="22">
        <f t="shared" si="1"/>
        <v>144.88021946569353</v>
      </c>
      <c r="K24" s="25">
        <f>IF(A24&gt;='00_통제변수'!$D$28,'00_통제변수'!$D$27,'00_통제변수'!$D$26)</f>
        <v>26000</v>
      </c>
      <c r="L24" s="26">
        <f t="shared" si="2"/>
        <v>376.6885706108032</v>
      </c>
      <c r="M24" s="26">
        <f>L24/(1-'00_통제변수'!$B$8)*'00_통제변수'!$B$11</f>
        <v>401.58696227164523</v>
      </c>
      <c r="N24" s="26">
        <f>E24*('00_통제변수'!$B$9+('00_통제변수'!$B$10-'00_통제변수'!$B$9)*(A24-1)/MAX(1,'00_통제변수'!$B$6-1))</f>
        <v>1517.8618351936236</v>
      </c>
    </row>
    <row r="25" spans="1:14">
      <c r="A25" s="20">
        <v>22</v>
      </c>
      <c r="B25" s="20">
        <v>2028</v>
      </c>
      <c r="C25" s="20">
        <v>10</v>
      </c>
      <c r="D25" s="21">
        <f>'00_통제변수'!$D$16*(1+'00_통제변수'!$D$17)^(A25-1)</f>
        <v>11.750504111576463</v>
      </c>
      <c r="E25" s="22">
        <f t="shared" si="3"/>
        <v>667.24639253511464</v>
      </c>
      <c r="F25" s="23">
        <f>'00_통제변수'!$D$18+('00_통제변수'!$D$19-'00_통제변수'!$D$18)*MIN(1,MAX(0,(A25-'00_통제변수'!$D$20+1)/MAX(1,'00_통제변수'!$D$21)))</f>
        <v>0.12678571428571428</v>
      </c>
      <c r="G25" s="22">
        <f t="shared" si="4"/>
        <v>83.107514425127164</v>
      </c>
      <c r="H25" s="22">
        <f t="shared" si="0"/>
        <v>94.858018536703625</v>
      </c>
      <c r="I25" s="24">
        <f>'00_통제변수'!$D$22+('00_통제변수'!$D$23-'00_통제변수'!$D$22)*MIN(1,MAX(0,(A25-'00_통제변수'!$D$24+1)/MAX(1,'00_통제변수'!$D$25)))</f>
        <v>1.5785666666666667</v>
      </c>
      <c r="J25" s="22">
        <f t="shared" si="1"/>
        <v>149.73970612808913</v>
      </c>
      <c r="K25" s="25">
        <f>IF(A25&gt;='00_통제변수'!$D$28,'00_통제변수'!$D$27,'00_통제변수'!$D$26)</f>
        <v>26000</v>
      </c>
      <c r="L25" s="26">
        <f t="shared" si="2"/>
        <v>389.32323593303175</v>
      </c>
      <c r="M25" s="26">
        <f>L25/(1-'00_통제변수'!$B$8)*'00_통제변수'!$B$11</f>
        <v>415.05675472604668</v>
      </c>
      <c r="N25" s="26">
        <f>E25*('00_통제변수'!$B$9+('00_통제변수'!$B$10-'00_통제변수'!$B$9)*(A25-1)/MAX(1,'00_통제변수'!$B$6-1))</f>
        <v>1536.2499993554234</v>
      </c>
    </row>
    <row r="26" spans="1:14">
      <c r="A26" s="20">
        <v>23</v>
      </c>
      <c r="B26" s="20">
        <v>2028</v>
      </c>
      <c r="C26" s="20">
        <v>11</v>
      </c>
      <c r="D26" s="21">
        <f>'00_통제변수'!$D$16*(1+'00_통제변수'!$D$17)^(A26-1)</f>
        <v>11.738753607464888</v>
      </c>
      <c r="E26" s="22">
        <f t="shared" si="3"/>
        <v>678.98514614257954</v>
      </c>
      <c r="F26" s="23">
        <f>'00_통제변수'!$D$18+('00_통제변수'!$D$19-'00_통제변수'!$D$18)*MIN(1,MAX(0,(A26-'00_통제변수'!$D$20+1)/MAX(1,'00_통제변수'!$D$21)))</f>
        <v>0.12771428571428572</v>
      </c>
      <c r="G26" s="22">
        <f t="shared" si="4"/>
        <v>85.216896418056081</v>
      </c>
      <c r="H26" s="22">
        <f t="shared" si="0"/>
        <v>96.955650025520967</v>
      </c>
      <c r="I26" s="24">
        <f>'00_통제변수'!$D$22+('00_통제변수'!$D$23-'00_통제변수'!$D$22)*MIN(1,MAX(0,(A26-'00_통제변수'!$D$24+1)/MAX(1,'00_통제변수'!$D$25)))</f>
        <v>1.5955999999999999</v>
      </c>
      <c r="J26" s="22">
        <f t="shared" si="1"/>
        <v>154.70243518072124</v>
      </c>
      <c r="K26" s="25">
        <f>IF(A26&gt;='00_통제변수'!$D$28,'00_통제변수'!$D$27,'00_통제변수'!$D$26)</f>
        <v>26000</v>
      </c>
      <c r="L26" s="26">
        <f t="shared" si="2"/>
        <v>402.22633146987522</v>
      </c>
      <c r="M26" s="26">
        <f>L26/(1-'00_통제변수'!$B$8)*'00_통제변수'!$B$11</f>
        <v>428.81272011713776</v>
      </c>
      <c r="N26" s="26">
        <f>E26*('00_통제변수'!$B$9+('00_통제변수'!$B$10-'00_통제변수'!$B$9)*(A26-1)/MAX(1,'00_통제변수'!$B$6-1))</f>
        <v>1554.3005735257084</v>
      </c>
    </row>
    <row r="27" spans="1:14">
      <c r="A27" s="27">
        <v>24</v>
      </c>
      <c r="B27" s="27">
        <v>2028</v>
      </c>
      <c r="C27" s="27">
        <v>12</v>
      </c>
      <c r="D27" s="28">
        <f>'00_통제변수'!$D$16*(1+'00_통제변수'!$D$17)^(A27-1)</f>
        <v>11.727014853857423</v>
      </c>
      <c r="E27" s="29">
        <f t="shared" si="3"/>
        <v>690.71216099643698</v>
      </c>
      <c r="F27" s="30">
        <f>'00_통제변수'!$D$18+('00_통제변수'!$D$19-'00_통제변수'!$D$18)*MIN(1,MAX(0,(A27-'00_통제변수'!$D$20+1)/MAX(1,'00_통제변수'!$D$21)))</f>
        <v>0.12864285714285714</v>
      </c>
      <c r="G27" s="29">
        <f t="shared" si="4"/>
        <v>87.346589157341839</v>
      </c>
      <c r="H27" s="29">
        <f t="shared" si="0"/>
        <v>99.073604011199265</v>
      </c>
      <c r="I27" s="31">
        <f>'00_통제변수'!$D$22+('00_통제변수'!$D$23-'00_통제변수'!$D$22)*MIN(1,MAX(0,(A27-'00_통제변수'!$D$24+1)/MAX(1,'00_통제변수'!$D$25)))</f>
        <v>1.6126333333333334</v>
      </c>
      <c r="J27" s="29">
        <f t="shared" si="1"/>
        <v>159.76939628192699</v>
      </c>
      <c r="K27" s="32">
        <f>IF(A27&gt;='00_통제변수'!$D$28,'00_통제변수'!$D$27,'00_통제변수'!$D$26)</f>
        <v>26000</v>
      </c>
      <c r="L27" s="33">
        <f t="shared" si="2"/>
        <v>415.40043033301015</v>
      </c>
      <c r="M27" s="33">
        <f>L27/(1-'00_통제변수'!$B$8)*'00_통제변수'!$B$11</f>
        <v>442.85760163433923</v>
      </c>
      <c r="N27" s="33">
        <f>E27*('00_통제변수'!$B$9+('00_통제변수'!$B$10-'00_통제변수'!$B$9)*(A27-1)/MAX(1,'00_통제변수'!$B$6-1))</f>
        <v>1572.014050484772</v>
      </c>
    </row>
    <row r="28" spans="1:14">
      <c r="A28" s="20">
        <v>25</v>
      </c>
      <c r="B28" s="20">
        <v>2029</v>
      </c>
      <c r="C28" s="20">
        <v>1</v>
      </c>
      <c r="D28" s="21">
        <f>'00_통제변수'!$D$16*(1+'00_통제변수'!$D$17)^(A28-1)</f>
        <v>11.715287839003565</v>
      </c>
      <c r="E28" s="22">
        <f t="shared" si="3"/>
        <v>702.4274488354406</v>
      </c>
      <c r="F28" s="23">
        <f>'00_통제변수'!$D$18+('00_통제변수'!$D$19-'00_통제변수'!$D$18)*MIN(1,MAX(0,(A28-'00_통제변수'!$D$20+1)/MAX(1,'00_통제변수'!$D$21)))</f>
        <v>0.12957142857142856</v>
      </c>
      <c r="G28" s="22">
        <f t="shared" si="4"/>
        <v>89.496561431966896</v>
      </c>
      <c r="H28" s="22">
        <f t="shared" si="0"/>
        <v>101.21184927097046</v>
      </c>
      <c r="I28" s="24">
        <f>'00_통제변수'!$D$22+('00_통제변수'!$D$23-'00_통제변수'!$D$22)*MIN(1,MAX(0,(A28-'00_통제변수'!$D$24+1)/MAX(1,'00_통제변수'!$D$25)))</f>
        <v>1.6296666666666666</v>
      </c>
      <c r="J28" s="22">
        <f t="shared" si="1"/>
        <v>164.94157702859152</v>
      </c>
      <c r="K28" s="25">
        <f>IF(A28&gt;='00_통제변수'!$D$28,'00_통제변수'!$D$27,'00_통제변수'!$D$26)</f>
        <v>26000</v>
      </c>
      <c r="L28" s="26">
        <f t="shared" si="2"/>
        <v>428.84810027433792</v>
      </c>
      <c r="M28" s="26">
        <f>L28/(1-'00_통제변수'!$B$8)*'00_통제변수'!$B$11</f>
        <v>457.19413675302553</v>
      </c>
      <c r="N28" s="26">
        <f>E28*('00_통제변수'!$B$9+('00_통제변수'!$B$10-'00_통제변수'!$B$9)*(A28-1)/MAX(1,'00_통제변수'!$B$6-1))</f>
        <v>1589.3909223649378</v>
      </c>
    </row>
    <row r="29" spans="1:14">
      <c r="A29" s="20">
        <v>26</v>
      </c>
      <c r="B29" s="20">
        <v>2029</v>
      </c>
      <c r="C29" s="20">
        <v>2</v>
      </c>
      <c r="D29" s="21">
        <f>'00_통제변수'!$D$16*(1+'00_통제변수'!$D$17)^(A29-1)</f>
        <v>11.703572551164562</v>
      </c>
      <c r="E29" s="22">
        <f t="shared" si="3"/>
        <v>714.1310213866052</v>
      </c>
      <c r="F29" s="23">
        <f>'00_통제변수'!$D$18+('00_통제변수'!$D$19-'00_통제변수'!$D$18)*MIN(1,MAX(0,(A29-'00_통제변수'!$D$20+1)/MAX(1,'00_통제변수'!$D$21)))</f>
        <v>0.1305</v>
      </c>
      <c r="G29" s="22">
        <f t="shared" si="4"/>
        <v>91.666782073025004</v>
      </c>
      <c r="H29" s="22">
        <f t="shared" si="0"/>
        <v>103.37035462418956</v>
      </c>
      <c r="I29" s="24">
        <f>'00_통제변수'!$D$22+('00_통제변수'!$D$23-'00_통제변수'!$D$22)*MIN(1,MAX(0,(A29-'00_통제변수'!$D$24+1)/MAX(1,'00_통제변수'!$D$25)))</f>
        <v>1.6467000000000001</v>
      </c>
      <c r="J29" s="22">
        <f t="shared" si="1"/>
        <v>170.21996295965295</v>
      </c>
      <c r="K29" s="25">
        <f>IF(A29&gt;='00_통제변수'!$D$28,'00_통제변수'!$D$27,'00_통제변수'!$D$26)</f>
        <v>26000</v>
      </c>
      <c r="L29" s="26">
        <f t="shared" si="2"/>
        <v>442.57190369509766</v>
      </c>
      <c r="M29" s="26">
        <f>L29/(1-'00_통제변수'!$B$8)*'00_통제변수'!$B$11</f>
        <v>471.82505724424061</v>
      </c>
      <c r="N29" s="26">
        <f>E29*('00_통제변수'!$B$9+('00_통제변수'!$B$10-'00_통제변수'!$B$9)*(A29-1)/MAX(1,'00_통제변수'!$B$6-1))</f>
        <v>1606.43168065136</v>
      </c>
    </row>
    <row r="30" spans="1:14">
      <c r="A30" s="20">
        <v>27</v>
      </c>
      <c r="B30" s="20">
        <v>2029</v>
      </c>
      <c r="C30" s="20">
        <v>3</v>
      </c>
      <c r="D30" s="21">
        <f>'00_통제변수'!$D$16*(1+'00_통제변수'!$D$17)^(A30-1)</f>
        <v>11.691868978613398</v>
      </c>
      <c r="E30" s="22">
        <f t="shared" si="3"/>
        <v>725.82289036521854</v>
      </c>
      <c r="F30" s="23">
        <f>'00_통제변수'!$D$18+('00_통제변수'!$D$19-'00_통제변수'!$D$18)*MIN(1,MAX(0,(A30-'00_통제변수'!$D$20+1)/MAX(1,'00_통제변수'!$D$21)))</f>
        <v>0.13142857142857142</v>
      </c>
      <c r="G30" s="22">
        <f t="shared" si="4"/>
        <v>93.857219953668107</v>
      </c>
      <c r="H30" s="22">
        <f t="shared" si="0"/>
        <v>105.54908893228151</v>
      </c>
      <c r="I30" s="24">
        <f>'00_통제변수'!$D$22+('00_통제변수'!$D$23-'00_통제변수'!$D$22)*MIN(1,MAX(0,(A30-'00_통제변수'!$D$24+1)/MAX(1,'00_통제변수'!$D$25)))</f>
        <v>1.6637333333333333</v>
      </c>
      <c r="J30" s="22">
        <f t="shared" si="1"/>
        <v>175.60553755960115</v>
      </c>
      <c r="K30" s="25">
        <f>IF(A30&gt;='00_통제변수'!$D$28,'00_통제변수'!$D$27,'00_통제변수'!$D$26)</f>
        <v>26000</v>
      </c>
      <c r="L30" s="26">
        <f t="shared" si="2"/>
        <v>456.57439765496298</v>
      </c>
      <c r="M30" s="26">
        <f>L30/(1-'00_통제변수'!$B$8)*'00_통제변수'!$B$11</f>
        <v>486.75308918439555</v>
      </c>
      <c r="N30" s="26">
        <f>E30*('00_통제변수'!$B$9+('00_통제변수'!$B$10-'00_통제변수'!$B$9)*(A30-1)/MAX(1,'00_통제변수'!$B$6-1))</f>
        <v>1623.1368161828293</v>
      </c>
    </row>
    <row r="31" spans="1:14">
      <c r="A31" s="20">
        <v>28</v>
      </c>
      <c r="B31" s="20">
        <v>2029</v>
      </c>
      <c r="C31" s="20">
        <v>4</v>
      </c>
      <c r="D31" s="21">
        <f>'00_통제변수'!$D$16*(1+'00_통제변수'!$D$17)^(A31-1)</f>
        <v>11.680177109634784</v>
      </c>
      <c r="E31" s="22">
        <f t="shared" si="3"/>
        <v>737.50306747485331</v>
      </c>
      <c r="F31" s="23">
        <f>'00_통제변수'!$D$18+('00_통제변수'!$D$19-'00_통제변수'!$D$18)*MIN(1,MAX(0,(A31-'00_통제변수'!$D$20+1)/MAX(1,'00_통제변수'!$D$21)))</f>
        <v>0.13235714285714287</v>
      </c>
      <c r="G31" s="22">
        <f t="shared" si="4"/>
        <v>96.067843989053571</v>
      </c>
      <c r="H31" s="22">
        <f t="shared" si="0"/>
        <v>107.74802109868835</v>
      </c>
      <c r="I31" s="24">
        <f>'00_통제변수'!$D$22+('00_통제변수'!$D$23-'00_통제변수'!$D$22)*MIN(1,MAX(0,(A31-'00_통제변수'!$D$24+1)/MAX(1,'00_통제변수'!$D$25)))</f>
        <v>1.6807666666666667</v>
      </c>
      <c r="J31" s="22">
        <f t="shared" si="1"/>
        <v>181.09928226197209</v>
      </c>
      <c r="K31" s="25">
        <f>IF(A31&gt;='00_통제변수'!$D$28,'00_통제변수'!$D$27,'00_통제변수'!$D$26)</f>
        <v>26000</v>
      </c>
      <c r="L31" s="26">
        <f t="shared" si="2"/>
        <v>470.85813388112746</v>
      </c>
      <c r="M31" s="26">
        <f>L31/(1-'00_통제변수'!$B$8)*'00_통제변수'!$B$11</f>
        <v>501.98095296495467</v>
      </c>
      <c r="N31" s="26">
        <f>E31*('00_통제변수'!$B$9+('00_통제변수'!$B$10-'00_통제변수'!$B$9)*(A31-1)/MAX(1,'00_통제변수'!$B$6-1))</f>
        <v>1639.5068191525725</v>
      </c>
    </row>
    <row r="32" spans="1:14">
      <c r="A32" s="20">
        <v>29</v>
      </c>
      <c r="B32" s="20">
        <v>2029</v>
      </c>
      <c r="C32" s="20">
        <v>5</v>
      </c>
      <c r="D32" s="21">
        <f>'00_통제변수'!$D$16*(1+'00_통제변수'!$D$17)^(A32-1)</f>
        <v>11.66849693252515</v>
      </c>
      <c r="E32" s="22">
        <f t="shared" si="3"/>
        <v>749.17156440737847</v>
      </c>
      <c r="F32" s="23">
        <f>'00_통제변수'!$D$18+('00_통제변수'!$D$19-'00_통제변수'!$D$18)*MIN(1,MAX(0,(A32-'00_통제변수'!$D$20+1)/MAX(1,'00_통제변수'!$D$21)))</f>
        <v>0.13328571428571429</v>
      </c>
      <c r="G32" s="22">
        <f t="shared" si="4"/>
        <v>98.298623136291155</v>
      </c>
      <c r="H32" s="22">
        <f t="shared" si="0"/>
        <v>109.9671200688163</v>
      </c>
      <c r="I32" s="24">
        <f>'00_통제변수'!$D$22+('00_통제변수'!$D$23-'00_통제변수'!$D$22)*MIN(1,MAX(0,(A32-'00_통제변수'!$D$24+1)/MAX(1,'00_통제변수'!$D$25)))</f>
        <v>1.6978</v>
      </c>
      <c r="J32" s="22">
        <f t="shared" si="1"/>
        <v>186.70217645283631</v>
      </c>
      <c r="K32" s="25">
        <f>IF(A32&gt;='00_통제변수'!$D$28,'00_통제변수'!$D$27,'00_통제변수'!$D$26)</f>
        <v>26000</v>
      </c>
      <c r="L32" s="26">
        <f t="shared" si="2"/>
        <v>485.42565877737439</v>
      </c>
      <c r="M32" s="26">
        <f>L32/(1-'00_통제변수'!$B$8)*'00_통제변수'!$B$11</f>
        <v>517.51136330210488</v>
      </c>
      <c r="N32" s="26">
        <f>E32*('00_통제변수'!$B$9+('00_통제변수'!$B$10-'00_통제변수'!$B$9)*(A32-1)/MAX(1,'00_통제변수'!$B$6-1))</f>
        <v>1655.5421791090509</v>
      </c>
    </row>
    <row r="33" spans="1:14">
      <c r="A33" s="20">
        <v>30</v>
      </c>
      <c r="B33" s="20">
        <v>2029</v>
      </c>
      <c r="C33" s="20">
        <v>6</v>
      </c>
      <c r="D33" s="21">
        <f>'00_통제변수'!$D$16*(1+'00_통제변수'!$D$17)^(A33-1)</f>
        <v>11.656828435592624</v>
      </c>
      <c r="E33" s="22">
        <f t="shared" si="3"/>
        <v>760.82839284297108</v>
      </c>
      <c r="F33" s="23">
        <f>'00_통제변수'!$D$18+('00_통제변수'!$D$19-'00_통제변수'!$D$18)*MIN(1,MAX(0,(A33-'00_통제변수'!$D$20+1)/MAX(1,'00_통제변수'!$D$21)))</f>
        <v>0.1342142857142857</v>
      </c>
      <c r="G33" s="22">
        <f t="shared" si="4"/>
        <v>100.54952639439028</v>
      </c>
      <c r="H33" s="22">
        <f t="shared" si="0"/>
        <v>112.20635482998291</v>
      </c>
      <c r="I33" s="24">
        <f>'00_통제변수'!$D$22+('00_통제변수'!$D$23-'00_통제변수'!$D$22)*MIN(1,MAX(0,(A33-'00_통제변수'!$D$24+1)/MAX(1,'00_통제변수'!$D$25)))</f>
        <v>1.7148333333333334</v>
      </c>
      <c r="J33" s="22">
        <f t="shared" si="1"/>
        <v>192.41519747428237</v>
      </c>
      <c r="K33" s="25">
        <f>IF(A33&gt;='00_통제변수'!$D$28,'00_통제변수'!$D$27,'00_통제변수'!$D$26)</f>
        <v>26000</v>
      </c>
      <c r="L33" s="26">
        <f t="shared" si="2"/>
        <v>500.27951343313418</v>
      </c>
      <c r="M33" s="26">
        <f>L33/(1-'00_통제변수'!$B$8)*'00_통제변수'!$B$11</f>
        <v>533.34702924641169</v>
      </c>
      <c r="N33" s="26">
        <f>E33*('00_통제변수'!$B$9+('00_통제변수'!$B$10-'00_통제변수'!$B$9)*(A33-1)/MAX(1,'00_통제변수'!$B$6-1))</f>
        <v>1671.2433849567635</v>
      </c>
    </row>
    <row r="34" spans="1:14">
      <c r="A34" s="20">
        <v>31</v>
      </c>
      <c r="B34" s="20">
        <v>2029</v>
      </c>
      <c r="C34" s="20">
        <v>7</v>
      </c>
      <c r="D34" s="21">
        <f>'00_통제변수'!$D$16*(1+'00_통제변수'!$D$17)^(A34-1)</f>
        <v>11.645171607157032</v>
      </c>
      <c r="E34" s="22">
        <f t="shared" si="3"/>
        <v>772.47356445012815</v>
      </c>
      <c r="F34" s="23">
        <f>'00_통제변수'!$D$18+('00_통제변수'!$D$19-'00_통제변수'!$D$18)*MIN(1,MAX(0,(A34-'00_통제변수'!$D$20+1)/MAX(1,'00_통제변수'!$D$21)))</f>
        <v>0.13514285714285715</v>
      </c>
      <c r="G34" s="22">
        <f t="shared" si="4"/>
        <v>102.82052280420724</v>
      </c>
      <c r="H34" s="22">
        <f t="shared" si="0"/>
        <v>114.46569441136427</v>
      </c>
      <c r="I34" s="24">
        <f>'00_통제변수'!$D$22+('00_통제변수'!$D$23-'00_통제변수'!$D$22)*MIN(1,MAX(0,(A34-'00_통제변수'!$D$24+1)/MAX(1,'00_통제변수'!$D$25)))</f>
        <v>1.7318666666666667</v>
      </c>
      <c r="J34" s="22">
        <f t="shared" si="1"/>
        <v>198.23932062789473</v>
      </c>
      <c r="K34" s="25">
        <f>IF(A34&gt;='00_통제변수'!$D$28,'00_통제변수'!$D$27,'00_통제변수'!$D$26)</f>
        <v>26000</v>
      </c>
      <c r="L34" s="26">
        <f t="shared" si="2"/>
        <v>515.42223363252629</v>
      </c>
      <c r="M34" s="26">
        <f>L34/(1-'00_통제변수'!$B$8)*'00_통제변수'!$B$11</f>
        <v>549.49065419245881</v>
      </c>
      <c r="N34" s="26">
        <f>E34*('00_통제변수'!$B$9+('00_통제변수'!$B$10-'00_통제변수'!$B$9)*(A34-1)/MAX(1,'00_통제변수'!$B$6-1))</f>
        <v>1686.6109249570425</v>
      </c>
    </row>
    <row r="35" spans="1:14">
      <c r="A35" s="20">
        <v>32</v>
      </c>
      <c r="B35" s="20">
        <v>2029</v>
      </c>
      <c r="C35" s="20">
        <v>8</v>
      </c>
      <c r="D35" s="21">
        <f>'00_통제변수'!$D$16*(1+'00_통제변수'!$D$17)^(A35-1)</f>
        <v>11.633526435549875</v>
      </c>
      <c r="E35" s="22">
        <f t="shared" si="3"/>
        <v>784.10709088567808</v>
      </c>
      <c r="F35" s="23">
        <f>'00_통제변수'!$D$18+('00_통제변수'!$D$19-'00_통제변수'!$D$18)*MIN(1,MAX(0,(A35-'00_통제변수'!$D$20+1)/MAX(1,'00_통제변수'!$D$21)))</f>
        <v>0.13607142857142857</v>
      </c>
      <c r="G35" s="22">
        <f t="shared" si="4"/>
        <v>105.11158144839243</v>
      </c>
      <c r="H35" s="22">
        <f t="shared" si="0"/>
        <v>116.7451078839423</v>
      </c>
      <c r="I35" s="24">
        <f>'00_통제변수'!$D$22+('00_통제변수'!$D$23-'00_통제변수'!$D$22)*MIN(1,MAX(0,(A35-'00_통제변수'!$D$24+1)/MAX(1,'00_통제변수'!$D$25)))</f>
        <v>1.7489000000000001</v>
      </c>
      <c r="J35" s="22">
        <f t="shared" si="1"/>
        <v>204.17551917822669</v>
      </c>
      <c r="K35" s="25">
        <f>IF(A35&gt;='00_통제변수'!$D$28,'00_통제변수'!$D$27,'00_통제변수'!$D$26)</f>
        <v>26000</v>
      </c>
      <c r="L35" s="26">
        <f t="shared" si="2"/>
        <v>530.85634986338937</v>
      </c>
      <c r="M35" s="26">
        <f>L35/(1-'00_통제변수'!$B$8)*'00_통제변수'!$B$11</f>
        <v>565.94493588847479</v>
      </c>
      <c r="N35" s="26">
        <f>E35*('00_통제변수'!$B$9+('00_통제변수'!$B$10-'00_통제변수'!$B$9)*(A35-1)/MAX(1,'00_통제변수'!$B$6-1))</f>
        <v>1701.6452867288513</v>
      </c>
    </row>
    <row r="36" spans="1:14">
      <c r="A36" s="20">
        <v>33</v>
      </c>
      <c r="B36" s="20">
        <v>2029</v>
      </c>
      <c r="C36" s="20">
        <v>9</v>
      </c>
      <c r="D36" s="21">
        <f>'00_통제변수'!$D$16*(1+'00_통제변수'!$D$17)^(A36-1)</f>
        <v>11.621892909114326</v>
      </c>
      <c r="E36" s="22">
        <f t="shared" si="3"/>
        <v>795.72898379479238</v>
      </c>
      <c r="F36" s="23">
        <f>'00_통제변수'!$D$18+('00_통제변수'!$D$19-'00_통제변수'!$D$18)*MIN(1,MAX(0,(A36-'00_통제변수'!$D$20+1)/MAX(1,'00_통제변수'!$D$21)))</f>
        <v>0.13700000000000001</v>
      </c>
      <c r="G36" s="22">
        <f t="shared" si="4"/>
        <v>107.42267145133791</v>
      </c>
      <c r="H36" s="22">
        <f t="shared" ref="H36:H63" si="5">D36+G36</f>
        <v>119.04456436045223</v>
      </c>
      <c r="I36" s="24">
        <f>'00_통제변수'!$D$22+('00_통제변수'!$D$23-'00_통제변수'!$D$22)*MIN(1,MAX(0,(A36-'00_통제변수'!$D$24+1)/MAX(1,'00_통제변수'!$D$25)))</f>
        <v>1.7659333333333334</v>
      </c>
      <c r="J36" s="22">
        <f t="shared" ref="J36:J63" si="6">H36*I36</f>
        <v>210.22476435626794</v>
      </c>
      <c r="K36" s="25">
        <f>IF(A36&gt;='00_통제변수'!$D$28,'00_통제변수'!$D$27,'00_통제변수'!$D$26)</f>
        <v>26000</v>
      </c>
      <c r="L36" s="26">
        <f t="shared" ref="L36:L63" si="7">J36*K36/10000</f>
        <v>546.58438732629656</v>
      </c>
      <c r="M36" s="26">
        <f>L36/(1-'00_통제변수'!$B$8)*'00_통제변수'!$B$11</f>
        <v>582.71256644594519</v>
      </c>
      <c r="N36" s="26">
        <f>E36*('00_통제변수'!$B$9+('00_통제변수'!$B$10-'00_통제변수'!$B$9)*(A36-1)/MAX(1,'00_통제변수'!$B$6-1))</f>
        <v>1716.346957249581</v>
      </c>
    </row>
    <row r="37" spans="1:14">
      <c r="A37" s="20">
        <v>34</v>
      </c>
      <c r="B37" s="20">
        <v>2029</v>
      </c>
      <c r="C37" s="20">
        <v>10</v>
      </c>
      <c r="D37" s="21">
        <f>'00_통제변수'!$D$16*(1+'00_통제변수'!$D$17)^(A37-1)</f>
        <v>11.610271016205211</v>
      </c>
      <c r="E37" s="22">
        <f t="shared" ref="E37:E63" si="8">E36+D37</f>
        <v>807.33925481099755</v>
      </c>
      <c r="F37" s="23">
        <f>'00_통제변수'!$D$18+('00_통제변수'!$D$19-'00_통제변수'!$D$18)*MIN(1,MAX(0,(A37-'00_통제변수'!$D$20+1)/MAX(1,'00_통제변수'!$D$21)))</f>
        <v>0.13792857142857143</v>
      </c>
      <c r="G37" s="22">
        <f t="shared" ref="G37:G63" si="9">E36*F37</f>
        <v>109.75376197912458</v>
      </c>
      <c r="H37" s="22">
        <f t="shared" si="5"/>
        <v>121.36403299532978</v>
      </c>
      <c r="I37" s="24">
        <f>'00_통제변수'!$D$22+('00_통제변수'!$D$23-'00_통제변수'!$D$22)*MIN(1,MAX(0,(A37-'00_통제변수'!$D$24+1)/MAX(1,'00_통제변수'!$D$25)))</f>
        <v>1.7829666666666668</v>
      </c>
      <c r="J37" s="22">
        <f t="shared" si="6"/>
        <v>216.38802536290649</v>
      </c>
      <c r="K37" s="25">
        <f>IF(A37&gt;='00_통제변수'!$D$28,'00_통제변수'!$D$27,'00_통제변수'!$D$26)</f>
        <v>26000</v>
      </c>
      <c r="L37" s="26">
        <f t="shared" si="7"/>
        <v>562.60886594355679</v>
      </c>
      <c r="M37" s="26">
        <f>L37/(1-'00_통제변수'!$B$8)*'00_통제변수'!$B$11</f>
        <v>599.79623234920768</v>
      </c>
      <c r="N37" s="26">
        <f>E37*('00_통제변수'!$B$9+('00_통제변수'!$B$10-'00_통제변수'!$B$9)*(A37-1)/MAX(1,'00_통제변수'!$B$6-1))</f>
        <v>1730.716422855847</v>
      </c>
    </row>
    <row r="38" spans="1:14">
      <c r="A38" s="20">
        <v>35</v>
      </c>
      <c r="B38" s="20">
        <v>2029</v>
      </c>
      <c r="C38" s="20">
        <v>11</v>
      </c>
      <c r="D38" s="21">
        <f>'00_통제변수'!$D$16*(1+'00_통제변수'!$D$17)^(A38-1)</f>
        <v>11.598660745189006</v>
      </c>
      <c r="E38" s="22">
        <f t="shared" si="8"/>
        <v>818.93791555618657</v>
      </c>
      <c r="F38" s="23">
        <f>'00_통제변수'!$D$18+('00_통제변수'!$D$19-'00_통제변수'!$D$18)*MIN(1,MAX(0,(A38-'00_통제변수'!$D$20+1)/MAX(1,'00_통제변수'!$D$21)))</f>
        <v>0.13885714285714285</v>
      </c>
      <c r="G38" s="22">
        <f t="shared" si="9"/>
        <v>112.10482223946994</v>
      </c>
      <c r="H38" s="22">
        <f t="shared" si="5"/>
        <v>123.70348298465895</v>
      </c>
      <c r="I38" s="24">
        <f>'00_통제변수'!$D$22+('00_통제변수'!$D$23-'00_통제변수'!$D$22)*MIN(1,MAX(0,(A38-'00_통제변수'!$D$24+1)/MAX(1,'00_통제변수'!$D$25)))</f>
        <v>1.8</v>
      </c>
      <c r="J38" s="22">
        <f t="shared" si="6"/>
        <v>222.6662693723861</v>
      </c>
      <c r="K38" s="25">
        <f>IF(A38&gt;='00_통제변수'!$D$28,'00_통제변수'!$D$27,'00_통제변수'!$D$26)</f>
        <v>26000</v>
      </c>
      <c r="L38" s="26">
        <f t="shared" si="7"/>
        <v>578.93230036820387</v>
      </c>
      <c r="M38" s="26">
        <f>L38/(1-'00_통제변수'!$B$8)*'00_통제변수'!$B$11</f>
        <v>617.19861446503614</v>
      </c>
      <c r="N38" s="26">
        <f>E38*('00_통제변수'!$B$9+('00_통제변수'!$B$10-'00_통제변수'!$B$9)*(A38-1)/MAX(1,'00_통제변수'!$B$6-1))</f>
        <v>1744.7541692442824</v>
      </c>
    </row>
    <row r="39" spans="1:14">
      <c r="A39" s="27">
        <v>36</v>
      </c>
      <c r="B39" s="27">
        <v>2029</v>
      </c>
      <c r="C39" s="27">
        <v>12</v>
      </c>
      <c r="D39" s="28">
        <f>'00_통제변수'!$D$16*(1+'00_통제변수'!$D$17)^(A39-1)</f>
        <v>11.587062084443817</v>
      </c>
      <c r="E39" s="29">
        <f t="shared" si="8"/>
        <v>830.52497764063037</v>
      </c>
      <c r="F39" s="30">
        <f>'00_통제변수'!$D$18+('00_통제변수'!$D$19-'00_통제변수'!$D$18)*MIN(1,MAX(0,(A39-'00_통제변수'!$D$20+1)/MAX(1,'00_통제변수'!$D$21)))</f>
        <v>0.13978571428571429</v>
      </c>
      <c r="G39" s="29">
        <f t="shared" si="9"/>
        <v>114.47582148167551</v>
      </c>
      <c r="H39" s="29">
        <f t="shared" si="5"/>
        <v>126.06288356611932</v>
      </c>
      <c r="I39" s="31">
        <f>'00_통제변수'!$D$22+('00_통제변수'!$D$23-'00_통제변수'!$D$22)*MIN(1,MAX(0,(A39-'00_통제변수'!$D$24+1)/MAX(1,'00_통제변수'!$D$25)))</f>
        <v>1.8</v>
      </c>
      <c r="J39" s="29">
        <f t="shared" si="6"/>
        <v>226.9131904190148</v>
      </c>
      <c r="K39" s="32">
        <f>IF(A39&gt;='00_통제변수'!$D$28,'00_통제변수'!$D$27,'00_통제변수'!$D$26)</f>
        <v>26000</v>
      </c>
      <c r="L39" s="33">
        <f t="shared" si="7"/>
        <v>589.97429508943844</v>
      </c>
      <c r="M39" s="33">
        <f>L39/(1-'00_통제변수'!$B$8)*'00_통제변수'!$B$11</f>
        <v>628.97046384801547</v>
      </c>
      <c r="N39" s="33">
        <f>E39*('00_통제변수'!$B$9+('00_통제변수'!$B$10-'00_통제변수'!$B$9)*(A39-1)/MAX(1,'00_통제변수'!$B$6-1))</f>
        <v>1758.4606814723313</v>
      </c>
    </row>
    <row r="40" spans="1:14">
      <c r="A40" s="20">
        <v>37</v>
      </c>
      <c r="B40" s="20">
        <v>2030</v>
      </c>
      <c r="C40" s="20">
        <v>1</v>
      </c>
      <c r="D40" s="21">
        <f>'00_통제변수'!$D$16*(1+'00_통제변수'!$D$17)^(A40-1)</f>
        <v>11.575475022359374</v>
      </c>
      <c r="E40" s="22">
        <f t="shared" si="8"/>
        <v>842.10045266298971</v>
      </c>
      <c r="F40" s="23">
        <f>'00_통제변수'!$D$18+('00_통제변수'!$D$19-'00_통제변수'!$D$18)*MIN(1,MAX(0,(A40-'00_통제변수'!$D$20+1)/MAX(1,'00_통제변수'!$D$21)))</f>
        <v>0.14071428571428571</v>
      </c>
      <c r="G40" s="22">
        <f t="shared" si="9"/>
        <v>116.86672899657441</v>
      </c>
      <c r="H40" s="22">
        <f t="shared" si="5"/>
        <v>128.44220401893378</v>
      </c>
      <c r="I40" s="24">
        <f>'00_통제변수'!$D$22+('00_통제변수'!$D$23-'00_통제변수'!$D$22)*MIN(1,MAX(0,(A40-'00_통제변수'!$D$24+1)/MAX(1,'00_통제변수'!$D$25)))</f>
        <v>1.8</v>
      </c>
      <c r="J40" s="22">
        <f t="shared" si="6"/>
        <v>231.1959672340808</v>
      </c>
      <c r="K40" s="25">
        <f>IF(A40&gt;='00_통제변수'!$D$28,'00_통제변수'!$D$27,'00_통제변수'!$D$26)</f>
        <v>26000</v>
      </c>
      <c r="L40" s="26">
        <f t="shared" si="7"/>
        <v>601.10951480861013</v>
      </c>
      <c r="M40" s="26">
        <f>L40/(1-'00_통제변수'!$B$8)*'00_통제변수'!$B$11</f>
        <v>640.84170022239891</v>
      </c>
      <c r="N40" s="26">
        <f>E40*('00_통제변수'!$B$9+('00_통제변수'!$B$10-'00_통제변수'!$B$9)*(A40-1)/MAX(1,'00_통제변수'!$B$6-1))</f>
        <v>1771.8364439590432</v>
      </c>
    </row>
    <row r="41" spans="1:14">
      <c r="A41" s="20">
        <v>38</v>
      </c>
      <c r="B41" s="20">
        <v>2030</v>
      </c>
      <c r="C41" s="20">
        <v>2</v>
      </c>
      <c r="D41" s="21">
        <f>'00_통제변수'!$D$16*(1+'00_통제변수'!$D$17)^(A41-1)</f>
        <v>11.563899547337014</v>
      </c>
      <c r="E41" s="22">
        <f t="shared" si="8"/>
        <v>853.66435221032668</v>
      </c>
      <c r="F41" s="23">
        <f>'00_통제변수'!$D$18+('00_통제변수'!$D$19-'00_통제변수'!$D$18)*MIN(1,MAX(0,(A41-'00_통제변수'!$D$20+1)/MAX(1,'00_통제변수'!$D$21)))</f>
        <v>0.14164285714285713</v>
      </c>
      <c r="G41" s="22">
        <f t="shared" si="9"/>
        <v>119.27751411647917</v>
      </c>
      <c r="H41" s="22">
        <f t="shared" si="5"/>
        <v>130.84141366381618</v>
      </c>
      <c r="I41" s="24">
        <f>'00_통제변수'!$D$22+('00_통제변수'!$D$23-'00_통제변수'!$D$22)*MIN(1,MAX(0,(A41-'00_통제변수'!$D$24+1)/MAX(1,'00_통제변수'!$D$25)))</f>
        <v>1.8</v>
      </c>
      <c r="J41" s="22">
        <f t="shared" si="6"/>
        <v>235.51454459486914</v>
      </c>
      <c r="K41" s="25">
        <f>IF(A41&gt;='00_통제변수'!$D$28,'00_통제변수'!$D$27,'00_통제변수'!$D$26)</f>
        <v>26000</v>
      </c>
      <c r="L41" s="26">
        <f t="shared" si="7"/>
        <v>612.3378159466597</v>
      </c>
      <c r="M41" s="26">
        <f>L41/(1-'00_통제변수'!$B$8)*'00_통제변수'!$B$11</f>
        <v>652.81217051882697</v>
      </c>
      <c r="N41" s="26">
        <f>E41*('00_통제변수'!$B$9+('00_통제변수'!$B$10-'00_통제변수'!$B$9)*(A41-1)/MAX(1,'00_통제변수'!$B$6-1))</f>
        <v>1784.8819404858625</v>
      </c>
    </row>
    <row r="42" spans="1:14">
      <c r="A42" s="20">
        <v>39</v>
      </c>
      <c r="B42" s="20">
        <v>2030</v>
      </c>
      <c r="C42" s="20">
        <v>3</v>
      </c>
      <c r="D42" s="21">
        <f>'00_통제변수'!$D$16*(1+'00_통제변수'!$D$17)^(A42-1)</f>
        <v>11.552335647789679</v>
      </c>
      <c r="E42" s="22">
        <f t="shared" si="8"/>
        <v>865.21668785811642</v>
      </c>
      <c r="F42" s="23">
        <f>'00_통제변수'!$D$18+('00_통제변수'!$D$19-'00_통제변수'!$D$18)*MIN(1,MAX(0,(A42-'00_통제변수'!$D$20+1)/MAX(1,'00_통제변수'!$D$21)))</f>
        <v>0.14257142857142857</v>
      </c>
      <c r="G42" s="22">
        <f t="shared" si="9"/>
        <v>121.70814621512943</v>
      </c>
      <c r="H42" s="22">
        <f t="shared" si="5"/>
        <v>133.26048186291911</v>
      </c>
      <c r="I42" s="24">
        <f>'00_통제변수'!$D$22+('00_통제변수'!$D$23-'00_통제변수'!$D$22)*MIN(1,MAX(0,(A42-'00_통제변수'!$D$24+1)/MAX(1,'00_통제변수'!$D$25)))</f>
        <v>1.8</v>
      </c>
      <c r="J42" s="22">
        <f t="shared" si="6"/>
        <v>239.86886735325439</v>
      </c>
      <c r="K42" s="25">
        <f>IF(A42&gt;='00_통제변수'!$D$28,'00_통제변수'!$D$27,'00_통제변수'!$D$26)</f>
        <v>26000</v>
      </c>
      <c r="L42" s="26">
        <f t="shared" si="7"/>
        <v>623.65905511846142</v>
      </c>
      <c r="M42" s="26">
        <f>L42/(1-'00_통제변수'!$B$8)*'00_통제변수'!$B$11</f>
        <v>664.8817218746924</v>
      </c>
      <c r="N42" s="26">
        <f>E42*('00_통제변수'!$B$9+('00_통제변수'!$B$10-'00_통제변수'!$B$9)*(A42-1)/MAX(1,'00_통제변수'!$B$6-1))</f>
        <v>1797.5976541974223</v>
      </c>
    </row>
    <row r="43" spans="1:14">
      <c r="A43" s="20">
        <v>40</v>
      </c>
      <c r="B43" s="20">
        <v>2030</v>
      </c>
      <c r="C43" s="20">
        <v>4</v>
      </c>
      <c r="D43" s="21">
        <f>'00_통제변수'!$D$16*(1+'00_통제변수'!$D$17)^(A43-1)</f>
        <v>11.540783312141887</v>
      </c>
      <c r="E43" s="22">
        <f t="shared" si="8"/>
        <v>876.75747117025833</v>
      </c>
      <c r="F43" s="23">
        <f>'00_통제변수'!$D$18+('00_통제변수'!$D$19-'00_통제변수'!$D$18)*MIN(1,MAX(0,(A43-'00_통제변수'!$D$20+1)/MAX(1,'00_통제변수'!$D$21)))</f>
        <v>0.14349999999999999</v>
      </c>
      <c r="G43" s="22">
        <f t="shared" si="9"/>
        <v>124.15859470763969</v>
      </c>
      <c r="H43" s="22">
        <f t="shared" si="5"/>
        <v>135.69937801978159</v>
      </c>
      <c r="I43" s="24">
        <f>'00_통제변수'!$D$22+('00_통제변수'!$D$23-'00_통제변수'!$D$22)*MIN(1,MAX(0,(A43-'00_통제변수'!$D$24+1)/MAX(1,'00_통제변수'!$D$25)))</f>
        <v>1.8</v>
      </c>
      <c r="J43" s="22">
        <f t="shared" si="6"/>
        <v>244.25888043560687</v>
      </c>
      <c r="K43" s="25">
        <f>IF(A43&gt;='00_통제변수'!$D$28,'00_통제변수'!$D$27,'00_통제변수'!$D$26)</f>
        <v>26000</v>
      </c>
      <c r="L43" s="26">
        <f t="shared" si="7"/>
        <v>635.07308913257782</v>
      </c>
      <c r="M43" s="26">
        <f>L43/(1-'00_통제변수'!$B$8)*'00_통제변수'!$B$11</f>
        <v>677.05020163387826</v>
      </c>
      <c r="N43" s="26">
        <f>E43*('00_통제변수'!$B$9+('00_통제변수'!$B$10-'00_통제변수'!$B$9)*(A43-1)/MAX(1,'00_통제변수'!$B$6-1))</f>
        <v>1809.98406760233</v>
      </c>
    </row>
    <row r="44" spans="1:14">
      <c r="A44" s="20">
        <v>41</v>
      </c>
      <c r="B44" s="20">
        <v>2030</v>
      </c>
      <c r="C44" s="20">
        <v>5</v>
      </c>
      <c r="D44" s="21">
        <f>'00_통제변수'!$D$16*(1+'00_통제변수'!$D$17)^(A44-1)</f>
        <v>11.529242528829746</v>
      </c>
      <c r="E44" s="22">
        <f t="shared" si="8"/>
        <v>888.28671369908807</v>
      </c>
      <c r="F44" s="23">
        <f>'00_통제변수'!$D$18+('00_통제변수'!$D$19-'00_통제변수'!$D$18)*MIN(1,MAX(0,(A44-'00_통제변수'!$D$20+1)/MAX(1,'00_통제변수'!$D$21)))</f>
        <v>0.14442857142857141</v>
      </c>
      <c r="G44" s="22">
        <f t="shared" si="9"/>
        <v>126.62882905044729</v>
      </c>
      <c r="H44" s="22">
        <f t="shared" si="5"/>
        <v>138.15807157927705</v>
      </c>
      <c r="I44" s="24">
        <f>'00_통제변수'!$D$22+('00_통제변수'!$D$23-'00_통제변수'!$D$22)*MIN(1,MAX(0,(A44-'00_통제변수'!$D$24+1)/MAX(1,'00_통제변수'!$D$25)))</f>
        <v>1.8</v>
      </c>
      <c r="J44" s="22">
        <f t="shared" si="6"/>
        <v>248.68452884269868</v>
      </c>
      <c r="K44" s="25">
        <f>IF(A44&gt;='00_통제변수'!$D$28,'00_통제변수'!$D$27,'00_통제변수'!$D$26)</f>
        <v>26000</v>
      </c>
      <c r="L44" s="26">
        <f t="shared" si="7"/>
        <v>646.57977499101651</v>
      </c>
      <c r="M44" s="26">
        <f>L44/(1-'00_통제변수'!$B$8)*'00_통제변수'!$B$11</f>
        <v>689.31745734649951</v>
      </c>
      <c r="N44" s="26">
        <f>E44*('00_통제변수'!$B$9+('00_통제변수'!$B$10-'00_통제변수'!$B$9)*(A44-1)/MAX(1,'00_통제변수'!$B$6-1))</f>
        <v>1822.0416625739599</v>
      </c>
    </row>
    <row r="45" spans="1:14">
      <c r="A45" s="20">
        <v>42</v>
      </c>
      <c r="B45" s="20">
        <v>2030</v>
      </c>
      <c r="C45" s="20">
        <v>6</v>
      </c>
      <c r="D45" s="21">
        <f>'00_통제변수'!$D$16*(1+'00_통제변수'!$D$17)^(A45-1)</f>
        <v>11.517713286300916</v>
      </c>
      <c r="E45" s="22">
        <f t="shared" si="8"/>
        <v>899.804426985389</v>
      </c>
      <c r="F45" s="23">
        <f>'00_통제변수'!$D$18+('00_통제변수'!$D$19-'00_통제변수'!$D$18)*MIN(1,MAX(0,(A45-'00_통제변수'!$D$20+1)/MAX(1,'00_통제변수'!$D$21)))</f>
        <v>0.14535714285714285</v>
      </c>
      <c r="G45" s="22">
        <f t="shared" si="9"/>
        <v>129.1188187412603</v>
      </c>
      <c r="H45" s="22">
        <f t="shared" si="5"/>
        <v>140.6365320275612</v>
      </c>
      <c r="I45" s="24">
        <f>'00_통제변수'!$D$22+('00_통제변수'!$D$23-'00_통제변수'!$D$22)*MIN(1,MAX(0,(A45-'00_통제변수'!$D$24+1)/MAX(1,'00_통제변수'!$D$25)))</f>
        <v>1.8</v>
      </c>
      <c r="J45" s="22">
        <f t="shared" si="6"/>
        <v>253.14575764961018</v>
      </c>
      <c r="K45" s="25">
        <f>IF(A45&gt;='00_통제변수'!$D$28,'00_통제변수'!$D$27,'00_통제변수'!$D$26)</f>
        <v>26000</v>
      </c>
      <c r="L45" s="26">
        <f t="shared" si="7"/>
        <v>658.17896988898644</v>
      </c>
      <c r="M45" s="26">
        <f>L45/(1-'00_통제변수'!$B$8)*'00_통제변수'!$B$11</f>
        <v>701.68333676864233</v>
      </c>
      <c r="N45" s="26">
        <f>E45*('00_통제변수'!$B$9+('00_통제변수'!$B$10-'00_통제변수'!$B$9)*(A45-1)/MAX(1,'00_통제변수'!$B$6-1))</f>
        <v>1833.7709203512404</v>
      </c>
    </row>
    <row r="46" spans="1:14">
      <c r="A46" s="20">
        <v>43</v>
      </c>
      <c r="B46" s="20">
        <v>2030</v>
      </c>
      <c r="C46" s="20">
        <v>7</v>
      </c>
      <c r="D46" s="21">
        <f>'00_통제변수'!$D$16*(1+'00_통제변수'!$D$17)^(A46-1)</f>
        <v>11.506195573014615</v>
      </c>
      <c r="E46" s="22">
        <f t="shared" si="8"/>
        <v>911.31062255840357</v>
      </c>
      <c r="F46" s="23">
        <f>'00_통제변수'!$D$18+('00_통제변수'!$D$19-'00_통제변수'!$D$18)*MIN(1,MAX(0,(A46-'00_통제변수'!$D$20+1)/MAX(1,'00_통제변수'!$D$21)))</f>
        <v>0.1462857142857143</v>
      </c>
      <c r="G46" s="22">
        <f t="shared" si="9"/>
        <v>131.6285333190055</v>
      </c>
      <c r="H46" s="22">
        <f t="shared" si="5"/>
        <v>143.13472889202012</v>
      </c>
      <c r="I46" s="24">
        <f>'00_통제변수'!$D$22+('00_통제변수'!$D$23-'00_통제변수'!$D$22)*MIN(1,MAX(0,(A46-'00_통제변수'!$D$24+1)/MAX(1,'00_통제변수'!$D$25)))</f>
        <v>1.8</v>
      </c>
      <c r="J46" s="22">
        <f t="shared" si="6"/>
        <v>257.64251200563621</v>
      </c>
      <c r="K46" s="25">
        <f>IF(A46&gt;='00_통제변수'!$D$28,'00_통제변수'!$D$27,'00_통제변수'!$D$26)</f>
        <v>26000</v>
      </c>
      <c r="L46" s="26">
        <f t="shared" si="7"/>
        <v>669.87053121465419</v>
      </c>
      <c r="M46" s="26">
        <f>L46/(1-'00_통제변수'!$B$8)*'00_통제변수'!$B$11</f>
        <v>714.1476878621047</v>
      </c>
      <c r="N46" s="26">
        <f>E46*('00_통제변수'!$B$9+('00_통제변수'!$B$10-'00_통제변수'!$B$9)*(A46-1)/MAX(1,'00_통제변수'!$B$6-1))</f>
        <v>1845.1723215394391</v>
      </c>
    </row>
    <row r="47" spans="1:14">
      <c r="A47" s="20">
        <v>44</v>
      </c>
      <c r="B47" s="20">
        <v>2030</v>
      </c>
      <c r="C47" s="20">
        <v>8</v>
      </c>
      <c r="D47" s="21">
        <f>'00_통제변수'!$D$16*(1+'00_통제변수'!$D$17)^(A47-1)</f>
        <v>11.494689377441601</v>
      </c>
      <c r="E47" s="22">
        <f t="shared" si="8"/>
        <v>922.80531193584511</v>
      </c>
      <c r="F47" s="23">
        <f>'00_통제변수'!$D$18+('00_통제변수'!$D$19-'00_통제변수'!$D$18)*MIN(1,MAX(0,(A47-'00_통제변수'!$D$20+1)/MAX(1,'00_통제변수'!$D$21)))</f>
        <v>0.14721428571428571</v>
      </c>
      <c r="G47" s="22">
        <f t="shared" si="9"/>
        <v>134.15794236377641</v>
      </c>
      <c r="H47" s="22">
        <f t="shared" si="5"/>
        <v>145.65263174121802</v>
      </c>
      <c r="I47" s="24">
        <f>'00_통제변수'!$D$22+('00_통제변수'!$D$23-'00_통제변수'!$D$22)*MIN(1,MAX(0,(A47-'00_통제변수'!$D$24+1)/MAX(1,'00_통제변수'!$D$25)))</f>
        <v>1.8</v>
      </c>
      <c r="J47" s="22">
        <f t="shared" si="6"/>
        <v>262.17473713419241</v>
      </c>
      <c r="K47" s="25">
        <f>IF(A47&gt;='00_통제변수'!$D$28,'00_통제변수'!$D$27,'00_통제변수'!$D$26)</f>
        <v>26000</v>
      </c>
      <c r="L47" s="26">
        <f t="shared" si="7"/>
        <v>681.65431654890028</v>
      </c>
      <c r="M47" s="26">
        <f>L47/(1-'00_통제변수'!$B$8)*'00_통제변수'!$B$11</f>
        <v>726.71035879413682</v>
      </c>
      <c r="N47" s="26">
        <f>E47*('00_통제변수'!$B$9+('00_통제변수'!$B$10-'00_통제변수'!$B$9)*(A47-1)/MAX(1,'00_통제변수'!$B$6-1))</f>
        <v>1856.2463461109508</v>
      </c>
    </row>
    <row r="48" spans="1:14">
      <c r="A48" s="20">
        <v>45</v>
      </c>
      <c r="B48" s="20">
        <v>2030</v>
      </c>
      <c r="C48" s="20">
        <v>9</v>
      </c>
      <c r="D48" s="21">
        <f>'00_통제변수'!$D$16*(1+'00_통제변수'!$D$17)^(A48-1)</f>
        <v>11.48319468806416</v>
      </c>
      <c r="E48" s="22">
        <f t="shared" si="8"/>
        <v>934.28850662390926</v>
      </c>
      <c r="F48" s="23">
        <f>'00_통제변수'!$D$18+('00_통제변수'!$D$19-'00_통제변수'!$D$18)*MIN(1,MAX(0,(A48-'00_통제변수'!$D$20+1)/MAX(1,'00_통제변수'!$D$21)))</f>
        <v>0.14814285714285713</v>
      </c>
      <c r="G48" s="22">
        <f t="shared" si="9"/>
        <v>136.70701549678162</v>
      </c>
      <c r="H48" s="22">
        <f t="shared" si="5"/>
        <v>148.1902101848458</v>
      </c>
      <c r="I48" s="24">
        <f>'00_통제변수'!$D$22+('00_통제변수'!$D$23-'00_통제변수'!$D$22)*MIN(1,MAX(0,(A48-'00_통제변수'!$D$24+1)/MAX(1,'00_통제변수'!$D$25)))</f>
        <v>1.8</v>
      </c>
      <c r="J48" s="22">
        <f t="shared" si="6"/>
        <v>266.74237833272247</v>
      </c>
      <c r="K48" s="25">
        <f>IF(A48&gt;='00_통제변수'!$D$28,'00_통제변수'!$D$27,'00_통제변수'!$D$26)</f>
        <v>26000</v>
      </c>
      <c r="L48" s="26">
        <f t="shared" si="7"/>
        <v>693.53018366507843</v>
      </c>
      <c r="M48" s="26">
        <f>L48/(1-'00_통제변수'!$B$8)*'00_통제변수'!$B$11</f>
        <v>739.37119793718387</v>
      </c>
      <c r="N48" s="26">
        <f>E48*('00_통제변수'!$B$9+('00_통제변수'!$B$10-'00_통제변수'!$B$9)*(A48-1)/MAX(1,'00_통제변수'!$B$6-1))</f>
        <v>1866.993473406083</v>
      </c>
    </row>
    <row r="49" spans="1:14">
      <c r="A49" s="20">
        <v>46</v>
      </c>
      <c r="B49" s="20">
        <v>2030</v>
      </c>
      <c r="C49" s="20">
        <v>10</v>
      </c>
      <c r="D49" s="21">
        <f>'00_통제변수'!$D$16*(1+'00_통제변수'!$D$17)^(A49-1)</f>
        <v>11.471711493376095</v>
      </c>
      <c r="E49" s="22">
        <f t="shared" si="8"/>
        <v>945.76021811728538</v>
      </c>
      <c r="F49" s="23">
        <f>'00_통제변수'!$D$18+('00_통제변수'!$D$19-'00_통제변수'!$D$18)*MIN(1,MAX(0,(A49-'00_통제변수'!$D$20+1)/MAX(1,'00_통제변수'!$D$21)))</f>
        <v>0.14907142857142858</v>
      </c>
      <c r="G49" s="22">
        <f t="shared" si="9"/>
        <v>139.27572238029276</v>
      </c>
      <c r="H49" s="22">
        <f t="shared" si="5"/>
        <v>150.74743387366885</v>
      </c>
      <c r="I49" s="24">
        <f>'00_통제변수'!$D$22+('00_통제변수'!$D$23-'00_통제변수'!$D$22)*MIN(1,MAX(0,(A49-'00_통제변수'!$D$24+1)/MAX(1,'00_통제변수'!$D$25)))</f>
        <v>1.8</v>
      </c>
      <c r="J49" s="22">
        <f t="shared" si="6"/>
        <v>271.34538097260395</v>
      </c>
      <c r="K49" s="25">
        <f>IF(A49&gt;='00_통제변수'!$D$28,'00_통제변수'!$D$27,'00_통제변수'!$D$26)</f>
        <v>26000</v>
      </c>
      <c r="L49" s="26">
        <f t="shared" si="7"/>
        <v>705.49799052877029</v>
      </c>
      <c r="M49" s="26">
        <f>L49/(1-'00_통제변수'!$B$8)*'00_통제변수'!$B$11</f>
        <v>752.13005386862505</v>
      </c>
      <c r="N49" s="26">
        <f>E49*('00_통제변수'!$B$9+('00_통제변수'!$B$10-'00_통제변수'!$B$9)*(A49-1)/MAX(1,'00_통제변수'!$B$6-1))</f>
        <v>1877.4141821338383</v>
      </c>
    </row>
    <row r="50" spans="1:14">
      <c r="A50" s="20">
        <v>47</v>
      </c>
      <c r="B50" s="20">
        <v>2030</v>
      </c>
      <c r="C50" s="20">
        <v>11</v>
      </c>
      <c r="D50" s="21">
        <f>'00_통제변수'!$D$16*(1+'00_통제변수'!$D$17)^(A50-1)</f>
        <v>11.46023978188272</v>
      </c>
      <c r="E50" s="22">
        <f t="shared" si="8"/>
        <v>957.22045789916808</v>
      </c>
      <c r="F50" s="23">
        <f>'00_통제변수'!$D$18+('00_통제변수'!$D$19-'00_통제변수'!$D$18)*MIN(1,MAX(0,(A50-'00_통제변수'!$D$20+1)/MAX(1,'00_통제변수'!$D$21)))</f>
        <v>0.15</v>
      </c>
      <c r="G50" s="22">
        <f t="shared" si="9"/>
        <v>141.86403271759281</v>
      </c>
      <c r="H50" s="22">
        <f t="shared" si="5"/>
        <v>153.32427249947551</v>
      </c>
      <c r="I50" s="24">
        <f>'00_통제변수'!$D$22+('00_통제변수'!$D$23-'00_통제변수'!$D$22)*MIN(1,MAX(0,(A50-'00_통제변수'!$D$24+1)/MAX(1,'00_통제변수'!$D$25)))</f>
        <v>1.8</v>
      </c>
      <c r="J50" s="22">
        <f t="shared" si="6"/>
        <v>275.98369049905591</v>
      </c>
      <c r="K50" s="25">
        <f>IF(A50&gt;='00_통제변수'!$D$28,'00_통제변수'!$D$27,'00_통제변수'!$D$26)</f>
        <v>26000</v>
      </c>
      <c r="L50" s="26">
        <f t="shared" si="7"/>
        <v>717.55759529754539</v>
      </c>
      <c r="M50" s="26">
        <f>L50/(1-'00_통제변수'!$B$8)*'00_통제변수'!$B$11</f>
        <v>764.98677537051753</v>
      </c>
      <c r="N50" s="26">
        <f>E50*('00_통제변수'!$B$9+('00_통제변수'!$B$10-'00_통제변수'!$B$9)*(A50-1)/MAX(1,'00_통제변수'!$B$6-1))</f>
        <v>1887.5089503726986</v>
      </c>
    </row>
    <row r="51" spans="1:14">
      <c r="A51" s="27">
        <v>48</v>
      </c>
      <c r="B51" s="27">
        <v>2030</v>
      </c>
      <c r="C51" s="27">
        <v>12</v>
      </c>
      <c r="D51" s="28">
        <f>'00_통제변수'!$D$16*(1+'00_통제변수'!$D$17)^(A51-1)</f>
        <v>11.448779542100835</v>
      </c>
      <c r="E51" s="29">
        <f t="shared" si="8"/>
        <v>968.66923744126893</v>
      </c>
      <c r="F51" s="30">
        <f>'00_통제변수'!$D$18+('00_통제변수'!$D$19-'00_통제변수'!$D$18)*MIN(1,MAX(0,(A51-'00_통제변수'!$D$20+1)/MAX(1,'00_통제변수'!$D$21)))</f>
        <v>0.15</v>
      </c>
      <c r="G51" s="29">
        <f t="shared" si="9"/>
        <v>143.5830686848752</v>
      </c>
      <c r="H51" s="29">
        <f t="shared" si="5"/>
        <v>155.03184822697602</v>
      </c>
      <c r="I51" s="31">
        <f>'00_통제변수'!$D$22+('00_통제변수'!$D$23-'00_통제변수'!$D$22)*MIN(1,MAX(0,(A51-'00_통제변수'!$D$24+1)/MAX(1,'00_통제변수'!$D$25)))</f>
        <v>1.8</v>
      </c>
      <c r="J51" s="29">
        <f t="shared" si="6"/>
        <v>279.05732680855687</v>
      </c>
      <c r="K51" s="32">
        <f>IF(A51&gt;='00_통제변수'!$D$28,'00_통제변수'!$D$27,'00_통제변수'!$D$26)</f>
        <v>26000</v>
      </c>
      <c r="L51" s="33">
        <f t="shared" si="7"/>
        <v>725.54904970224788</v>
      </c>
      <c r="M51" s="33">
        <f>L51/(1-'00_통제변수'!$B$8)*'00_통제변수'!$B$11</f>
        <v>773.50644957595728</v>
      </c>
      <c r="N51" s="33">
        <f>E51*('00_통제변수'!$B$9+('00_통제변수'!$B$10-'00_통제변수'!$B$9)*(A51-1)/MAX(1,'00_통제변수'!$B$6-1))</f>
        <v>1897.2782555714075</v>
      </c>
    </row>
    <row r="52" spans="1:14">
      <c r="A52" s="20">
        <v>49</v>
      </c>
      <c r="B52" s="20">
        <v>2031</v>
      </c>
      <c r="C52" s="20">
        <v>1</v>
      </c>
      <c r="D52" s="21">
        <f>'00_통제변수'!$D$16*(1+'00_통제변수'!$D$17)^(A52-1)</f>
        <v>11.437330762558737</v>
      </c>
      <c r="E52" s="22">
        <f t="shared" si="8"/>
        <v>980.10656820382769</v>
      </c>
      <c r="F52" s="23">
        <f>'00_통제변수'!$D$18+('00_통제변수'!$D$19-'00_통제변수'!$D$18)*MIN(1,MAX(0,(A52-'00_통제변수'!$D$20+1)/MAX(1,'00_통제변수'!$D$21)))</f>
        <v>0.15</v>
      </c>
      <c r="G52" s="22">
        <f t="shared" si="9"/>
        <v>145.30038561619034</v>
      </c>
      <c r="H52" s="22">
        <f t="shared" si="5"/>
        <v>156.73771637874907</v>
      </c>
      <c r="I52" s="24">
        <f>'00_통제변수'!$D$22+('00_통제변수'!$D$23-'00_통제변수'!$D$22)*MIN(1,MAX(0,(A52-'00_통제변수'!$D$24+1)/MAX(1,'00_통제변수'!$D$25)))</f>
        <v>1.8</v>
      </c>
      <c r="J52" s="22">
        <f t="shared" si="6"/>
        <v>282.12788948174835</v>
      </c>
      <c r="K52" s="25">
        <f>IF(A52&gt;='00_통제변수'!$D$28,'00_통제변수'!$D$27,'00_통제변수'!$D$26)</f>
        <v>26000</v>
      </c>
      <c r="L52" s="26">
        <f t="shared" si="7"/>
        <v>733.53251265254573</v>
      </c>
      <c r="M52" s="26">
        <f>L52/(1-'00_통제변수'!$B$8)*'00_통제변수'!$B$11</f>
        <v>782.01760410719169</v>
      </c>
      <c r="N52" s="26">
        <f>E52*('00_통제변수'!$B$9+('00_통제변수'!$B$10-'00_통제변수'!$B$9)*(A52-1)/MAX(1,'00_통제변수'!$B$6-1))</f>
        <v>1906.7225745497517</v>
      </c>
    </row>
    <row r="53" spans="1:14">
      <c r="A53" s="20">
        <v>50</v>
      </c>
      <c r="B53" s="20">
        <v>2031</v>
      </c>
      <c r="C53" s="20">
        <v>2</v>
      </c>
      <c r="D53" s="21">
        <f>'00_통제변수'!$D$16*(1+'00_통제변수'!$D$17)^(A53-1)</f>
        <v>11.425893431796176</v>
      </c>
      <c r="E53" s="22">
        <f t="shared" si="8"/>
        <v>991.53246163562392</v>
      </c>
      <c r="F53" s="23">
        <f>'00_통제변수'!$D$18+('00_통제변수'!$D$19-'00_통제변수'!$D$18)*MIN(1,MAX(0,(A53-'00_통제변수'!$D$20+1)/MAX(1,'00_통제변수'!$D$21)))</f>
        <v>0.15</v>
      </c>
      <c r="G53" s="22">
        <f t="shared" si="9"/>
        <v>147.01598523057416</v>
      </c>
      <c r="H53" s="22">
        <f t="shared" si="5"/>
        <v>158.44187866237033</v>
      </c>
      <c r="I53" s="24">
        <f>'00_통제변수'!$D$22+('00_통제변수'!$D$23-'00_통제변수'!$D$22)*MIN(1,MAX(0,(A53-'00_통제변수'!$D$24+1)/MAX(1,'00_통제변수'!$D$25)))</f>
        <v>1.8</v>
      </c>
      <c r="J53" s="22">
        <f t="shared" si="6"/>
        <v>285.19538159226659</v>
      </c>
      <c r="K53" s="25">
        <f>IF(A53&gt;='00_통제변수'!$D$28,'00_통제변수'!$D$27,'00_통제변수'!$D$26)</f>
        <v>26000</v>
      </c>
      <c r="L53" s="26">
        <f t="shared" si="7"/>
        <v>741.50799213989308</v>
      </c>
      <c r="M53" s="26">
        <f>L53/(1-'00_통제변수'!$B$8)*'00_통제변수'!$B$11</f>
        <v>790.52024748389454</v>
      </c>
      <c r="N53" s="26">
        <f>E53*('00_통제변수'!$B$9+('00_통제변수'!$B$10-'00_통제변수'!$B$9)*(A53-1)/MAX(1,'00_통제변수'!$B$6-1))</f>
        <v>1915.8423834993414</v>
      </c>
    </row>
    <row r="54" spans="1:14">
      <c r="A54" s="20">
        <v>51</v>
      </c>
      <c r="B54" s="20">
        <v>2031</v>
      </c>
      <c r="C54" s="20">
        <v>3</v>
      </c>
      <c r="D54" s="21">
        <f>'00_통제변수'!$D$16*(1+'00_통제변수'!$D$17)^(A54-1)</f>
        <v>11.414467538364381</v>
      </c>
      <c r="E54" s="22">
        <f t="shared" si="8"/>
        <v>1002.9469291739883</v>
      </c>
      <c r="F54" s="23">
        <f>'00_통제변수'!$D$18+('00_통제변수'!$D$19-'00_통제변수'!$D$18)*MIN(1,MAX(0,(A54-'00_통제변수'!$D$20+1)/MAX(1,'00_통제변수'!$D$21)))</f>
        <v>0.15</v>
      </c>
      <c r="G54" s="22">
        <f t="shared" si="9"/>
        <v>148.72986924534359</v>
      </c>
      <c r="H54" s="22">
        <f t="shared" si="5"/>
        <v>160.14433678370798</v>
      </c>
      <c r="I54" s="24">
        <f>'00_통제변수'!$D$22+('00_통제변수'!$D$23-'00_통제변수'!$D$22)*MIN(1,MAX(0,(A54-'00_통제변수'!$D$24+1)/MAX(1,'00_통제변수'!$D$25)))</f>
        <v>1.8</v>
      </c>
      <c r="J54" s="22">
        <f t="shared" si="6"/>
        <v>288.25980621067436</v>
      </c>
      <c r="K54" s="25">
        <f>IF(A54&gt;='00_통제변수'!$D$28,'00_통제변수'!$D$27,'00_통제변수'!$D$26)</f>
        <v>26000</v>
      </c>
      <c r="L54" s="26">
        <f t="shared" si="7"/>
        <v>749.47549614775335</v>
      </c>
      <c r="M54" s="26">
        <f>L54/(1-'00_통제변수'!$B$8)*'00_통제변수'!$B$11</f>
        <v>799.01438821722115</v>
      </c>
      <c r="N54" s="26">
        <f>E54*('00_통제변수'!$B$9+('00_통제변수'!$B$10-'00_통제변수'!$B$9)*(A54-1)/MAX(1,'00_통제변수'!$B$6-1))</f>
        <v>1924.6381579843892</v>
      </c>
    </row>
    <row r="55" spans="1:14">
      <c r="A55" s="20">
        <v>52</v>
      </c>
      <c r="B55" s="20">
        <v>2031</v>
      </c>
      <c r="C55" s="20">
        <v>4</v>
      </c>
      <c r="D55" s="21">
        <f>'00_통제변수'!$D$16*(1+'00_통제변수'!$D$17)^(A55-1)</f>
        <v>11.403053070826017</v>
      </c>
      <c r="E55" s="22">
        <f t="shared" si="8"/>
        <v>1014.3499822448143</v>
      </c>
      <c r="F55" s="23">
        <f>'00_통제변수'!$D$18+('00_통제변수'!$D$19-'00_통제변수'!$D$18)*MIN(1,MAX(0,(A55-'00_통제변수'!$D$20+1)/MAX(1,'00_통제변수'!$D$21)))</f>
        <v>0.15</v>
      </c>
      <c r="G55" s="22">
        <f t="shared" si="9"/>
        <v>150.44203937609825</v>
      </c>
      <c r="H55" s="22">
        <f t="shared" si="5"/>
        <v>161.84509244692427</v>
      </c>
      <c r="I55" s="24">
        <f>'00_통제변수'!$D$22+('00_통제변수'!$D$23-'00_통제변수'!$D$22)*MIN(1,MAX(0,(A55-'00_통제변수'!$D$24+1)/MAX(1,'00_통제변수'!$D$25)))</f>
        <v>1.8</v>
      </c>
      <c r="J55" s="22">
        <f t="shared" si="6"/>
        <v>291.32116640446367</v>
      </c>
      <c r="K55" s="25">
        <f>IF(A55&gt;='00_통제변수'!$D$28,'00_통제변수'!$D$27,'00_통제변수'!$D$26)</f>
        <v>26000</v>
      </c>
      <c r="L55" s="26">
        <f t="shared" si="7"/>
        <v>757.43503265160552</v>
      </c>
      <c r="M55" s="26">
        <f>L55/(1-'00_통제변수'!$B$8)*'00_통제변수'!$B$11</f>
        <v>807.500034809814</v>
      </c>
      <c r="N55" s="26">
        <f>E55*('00_통제변수'!$B$9+('00_통제변수'!$B$10-'00_통제변수'!$B$9)*(A55-1)/MAX(1,'00_통제변수'!$B$6-1))</f>
        <v>1933.1103729424901</v>
      </c>
    </row>
    <row r="56" spans="1:14">
      <c r="A56" s="20">
        <v>53</v>
      </c>
      <c r="B56" s="20">
        <v>2031</v>
      </c>
      <c r="C56" s="20">
        <v>5</v>
      </c>
      <c r="D56" s="21">
        <f>'00_통제변수'!$D$16*(1+'00_통제변수'!$D$17)^(A56-1)</f>
        <v>11.39165001775519</v>
      </c>
      <c r="E56" s="22">
        <f t="shared" si="8"/>
        <v>1025.7416322625695</v>
      </c>
      <c r="F56" s="23">
        <f>'00_통제변수'!$D$18+('00_통제변수'!$D$19-'00_통제변수'!$D$18)*MIN(1,MAX(0,(A56-'00_통제변수'!$D$20+1)/MAX(1,'00_통제변수'!$D$21)))</f>
        <v>0.15</v>
      </c>
      <c r="G56" s="22">
        <f t="shared" si="9"/>
        <v>152.15249733672215</v>
      </c>
      <c r="H56" s="22">
        <f t="shared" si="5"/>
        <v>163.54414735447733</v>
      </c>
      <c r="I56" s="24">
        <f>'00_통제변수'!$D$22+('00_통제변수'!$D$23-'00_통제변수'!$D$22)*MIN(1,MAX(0,(A56-'00_통제변수'!$D$24+1)/MAX(1,'00_통제변수'!$D$25)))</f>
        <v>1.8</v>
      </c>
      <c r="J56" s="22">
        <f t="shared" si="6"/>
        <v>294.3794652380592</v>
      </c>
      <c r="K56" s="25">
        <f>IF(A56&gt;='00_통제변수'!$D$28,'00_통제변수'!$D$27,'00_통제변수'!$D$26)</f>
        <v>26000</v>
      </c>
      <c r="L56" s="26">
        <f t="shared" si="7"/>
        <v>765.38660961895391</v>
      </c>
      <c r="M56" s="26">
        <f>L56/(1-'00_통제변수'!$B$8)*'00_통제변수'!$B$11</f>
        <v>815.97719575581448</v>
      </c>
      <c r="N56" s="26">
        <f>E56*('00_통제변수'!$B$9+('00_통제변수'!$B$10-'00_통제변수'!$B$9)*(A56-1)/MAX(1,'00_통제변수'!$B$6-1))</f>
        <v>1941.2595026853985</v>
      </c>
    </row>
    <row r="57" spans="1:14">
      <c r="A57" s="20">
        <v>54</v>
      </c>
      <c r="B57" s="20">
        <v>2031</v>
      </c>
      <c r="C57" s="20">
        <v>6</v>
      </c>
      <c r="D57" s="21">
        <f>'00_통제변수'!$D$16*(1+'00_통제변수'!$D$17)^(A57-1)</f>
        <v>11.380258367737436</v>
      </c>
      <c r="E57" s="22">
        <f t="shared" si="8"/>
        <v>1037.121890630307</v>
      </c>
      <c r="F57" s="23">
        <f>'00_통제변수'!$D$18+('00_통제변수'!$D$19-'00_통제변수'!$D$18)*MIN(1,MAX(0,(A57-'00_통제변수'!$D$20+1)/MAX(1,'00_통제변수'!$D$21)))</f>
        <v>0.15</v>
      </c>
      <c r="G57" s="22">
        <f t="shared" si="9"/>
        <v>153.86124483938542</v>
      </c>
      <c r="H57" s="22">
        <f t="shared" si="5"/>
        <v>165.24150320712286</v>
      </c>
      <c r="I57" s="24">
        <f>'00_통제변수'!$D$22+('00_통제변수'!$D$23-'00_통제변수'!$D$22)*MIN(1,MAX(0,(A57-'00_통제변수'!$D$24+1)/MAX(1,'00_통제변수'!$D$25)))</f>
        <v>1.8</v>
      </c>
      <c r="J57" s="22">
        <f t="shared" si="6"/>
        <v>297.43470577282113</v>
      </c>
      <c r="K57" s="25">
        <f>IF(A57&gt;='00_통제변수'!$D$28,'00_통제변수'!$D$27,'00_통제변수'!$D$26)</f>
        <v>26000</v>
      </c>
      <c r="L57" s="26">
        <f t="shared" si="7"/>
        <v>773.33023500933496</v>
      </c>
      <c r="M57" s="26">
        <f>L57/(1-'00_통제변수'!$B$8)*'00_통제변수'!$B$11</f>
        <v>824.44587954086887</v>
      </c>
      <c r="N57" s="26">
        <f>E57*('00_통제변수'!$B$9+('00_통제변수'!$B$10-'00_통제변수'!$B$9)*(A57-1)/MAX(1,'00_통제변수'!$B$6-1))</f>
        <v>1949.0860208998042</v>
      </c>
    </row>
    <row r="58" spans="1:14">
      <c r="A58" s="20">
        <v>55</v>
      </c>
      <c r="B58" s="20">
        <v>2031</v>
      </c>
      <c r="C58" s="20">
        <v>7</v>
      </c>
      <c r="D58" s="21">
        <f>'00_통제변수'!$D$16*(1+'00_통제변수'!$D$17)^(A58-1)</f>
        <v>11.3688781093697</v>
      </c>
      <c r="E58" s="22">
        <f t="shared" si="8"/>
        <v>1048.4907687396767</v>
      </c>
      <c r="F58" s="23">
        <f>'00_통제변수'!$D$18+('00_통제변수'!$D$19-'00_통제변수'!$D$18)*MIN(1,MAX(0,(A58-'00_통제변수'!$D$20+1)/MAX(1,'00_통제변수'!$D$21)))</f>
        <v>0.15</v>
      </c>
      <c r="G58" s="22">
        <f t="shared" si="9"/>
        <v>155.56828359454605</v>
      </c>
      <c r="H58" s="22">
        <f t="shared" si="5"/>
        <v>166.93716170391573</v>
      </c>
      <c r="I58" s="24">
        <f>'00_통제변수'!$D$22+('00_통제변수'!$D$23-'00_통제변수'!$D$22)*MIN(1,MAX(0,(A58-'00_통제변수'!$D$24+1)/MAX(1,'00_통제변수'!$D$25)))</f>
        <v>1.8</v>
      </c>
      <c r="J58" s="22">
        <f t="shared" si="6"/>
        <v>300.4868910670483</v>
      </c>
      <c r="K58" s="25">
        <f>IF(A58&gt;='00_통제변수'!$D$28,'00_통제변수'!$D$27,'00_통제변수'!$D$26)</f>
        <v>26000</v>
      </c>
      <c r="L58" s="26">
        <f t="shared" si="7"/>
        <v>781.26591677432566</v>
      </c>
      <c r="M58" s="26">
        <f>L58/(1-'00_통제변수'!$B$8)*'00_통제변수'!$B$11</f>
        <v>832.90609464213833</v>
      </c>
      <c r="N58" s="26">
        <f>E58*('00_통제변수'!$B$9+('00_통제변수'!$B$10-'00_통제변수'!$B$9)*(A58-1)/MAX(1,'00_통제변수'!$B$6-1))</f>
        <v>1956.5904006481085</v>
      </c>
    </row>
    <row r="59" spans="1:14">
      <c r="A59" s="20">
        <v>56</v>
      </c>
      <c r="B59" s="20">
        <v>2031</v>
      </c>
      <c r="C59" s="20">
        <v>8</v>
      </c>
      <c r="D59" s="21">
        <f>'00_통제변수'!$D$16*(1+'00_통제변수'!$D$17)^(A59-1)</f>
        <v>11.357509231260327</v>
      </c>
      <c r="E59" s="22">
        <f t="shared" si="8"/>
        <v>1059.848277970937</v>
      </c>
      <c r="F59" s="23">
        <f>'00_통제변수'!$D$18+('00_통제변수'!$D$19-'00_통제변수'!$D$18)*MIN(1,MAX(0,(A59-'00_통제변수'!$D$20+1)/MAX(1,'00_통제변수'!$D$21)))</f>
        <v>0.15</v>
      </c>
      <c r="G59" s="22">
        <f t="shared" si="9"/>
        <v>157.2736153109515</v>
      </c>
      <c r="H59" s="22">
        <f t="shared" si="5"/>
        <v>168.63112454221184</v>
      </c>
      <c r="I59" s="24">
        <f>'00_통제변수'!$D$22+('00_통제변수'!$D$23-'00_통제변수'!$D$22)*MIN(1,MAX(0,(A59-'00_통제변수'!$D$24+1)/MAX(1,'00_통제변수'!$D$25)))</f>
        <v>1.8</v>
      </c>
      <c r="J59" s="22">
        <f t="shared" si="6"/>
        <v>303.53602417598131</v>
      </c>
      <c r="K59" s="25">
        <f>IF(A59&gt;='00_통제변수'!$D$28,'00_통제변수'!$D$27,'00_통제변수'!$D$26)</f>
        <v>26000</v>
      </c>
      <c r="L59" s="26">
        <f t="shared" si="7"/>
        <v>789.19366285755143</v>
      </c>
      <c r="M59" s="26">
        <f>L59/(1-'00_통제변수'!$B$8)*'00_통제변수'!$B$11</f>
        <v>841.35784952830647</v>
      </c>
      <c r="N59" s="26">
        <f>E59*('00_통제변수'!$B$9+('00_통제변수'!$B$10-'00_통제변수'!$B$9)*(A59-1)/MAX(1,'00_통제변수'!$B$6-1))</f>
        <v>1963.7731143692008</v>
      </c>
    </row>
    <row r="60" spans="1:14">
      <c r="A60" s="20">
        <v>57</v>
      </c>
      <c r="B60" s="20">
        <v>2031</v>
      </c>
      <c r="C60" s="20">
        <v>9</v>
      </c>
      <c r="D60" s="21">
        <f>'00_통제변수'!$D$16*(1+'00_통제변수'!$D$17)^(A60-1)</f>
        <v>11.34615172202907</v>
      </c>
      <c r="E60" s="22">
        <f t="shared" si="8"/>
        <v>1071.1944296929662</v>
      </c>
      <c r="F60" s="23">
        <f>'00_통제변수'!$D$18+('00_통제변수'!$D$19-'00_통제변수'!$D$18)*MIN(1,MAX(0,(A60-'00_통제변수'!$D$20+1)/MAX(1,'00_통제변수'!$D$21)))</f>
        <v>0.15</v>
      </c>
      <c r="G60" s="22">
        <f t="shared" si="9"/>
        <v>158.97724169564054</v>
      </c>
      <c r="H60" s="22">
        <f t="shared" si="5"/>
        <v>170.32339341766962</v>
      </c>
      <c r="I60" s="24">
        <f>'00_통제변수'!$D$22+('00_통제변수'!$D$23-'00_통제변수'!$D$22)*MIN(1,MAX(0,(A60-'00_통제변수'!$D$24+1)/MAX(1,'00_통제변수'!$D$25)))</f>
        <v>1.8</v>
      </c>
      <c r="J60" s="22">
        <f t="shared" si="6"/>
        <v>306.5821081518053</v>
      </c>
      <c r="K60" s="25">
        <f>IF(A60&gt;='00_통제변수'!$D$28,'00_통제변수'!$D$27,'00_통제변수'!$D$26)</f>
        <v>26000</v>
      </c>
      <c r="L60" s="26">
        <f t="shared" si="7"/>
        <v>797.1134811946938</v>
      </c>
      <c r="M60" s="26">
        <f>L60/(1-'00_통제변수'!$B$8)*'00_통제변수'!$B$11</f>
        <v>849.8011526595883</v>
      </c>
      <c r="N60" s="26">
        <f>E60*('00_통제변수'!$B$9+('00_통제변수'!$B$10-'00_통제변수'!$B$9)*(A60-1)/MAX(1,'00_통제변수'!$B$6-1))</f>
        <v>1970.6346338792298</v>
      </c>
    </row>
    <row r="61" spans="1:14">
      <c r="A61" s="20">
        <v>58</v>
      </c>
      <c r="B61" s="20">
        <v>2031</v>
      </c>
      <c r="C61" s="20">
        <v>10</v>
      </c>
      <c r="D61" s="21">
        <f>'00_통제변수'!$D$16*(1+'00_통제변수'!$D$17)^(A61-1)</f>
        <v>11.33480557030704</v>
      </c>
      <c r="E61" s="22">
        <f t="shared" si="8"/>
        <v>1082.5292352632732</v>
      </c>
      <c r="F61" s="23">
        <f>'00_통제변수'!$D$18+('00_통제변수'!$D$19-'00_통제변수'!$D$18)*MIN(1,MAX(0,(A61-'00_통제변수'!$D$20+1)/MAX(1,'00_통제변수'!$D$21)))</f>
        <v>0.15</v>
      </c>
      <c r="G61" s="22">
        <f t="shared" si="9"/>
        <v>160.67916445394494</v>
      </c>
      <c r="H61" s="22">
        <f t="shared" si="5"/>
        <v>172.01397002425199</v>
      </c>
      <c r="I61" s="24">
        <f>'00_통제변수'!$D$22+('00_통제변수'!$D$23-'00_통제변수'!$D$22)*MIN(1,MAX(0,(A61-'00_통제변수'!$D$24+1)/MAX(1,'00_통제변수'!$D$25)))</f>
        <v>1.8</v>
      </c>
      <c r="J61" s="22">
        <f t="shared" si="6"/>
        <v>309.62514604365361</v>
      </c>
      <c r="K61" s="25">
        <f>IF(A61&gt;='00_통제변수'!$D$28,'00_통제변수'!$D$27,'00_통제변수'!$D$26)</f>
        <v>26000</v>
      </c>
      <c r="L61" s="26">
        <f t="shared" si="7"/>
        <v>805.02537971349932</v>
      </c>
      <c r="M61" s="26">
        <f>L61/(1-'00_통제변수'!$B$8)*'00_통제변수'!$B$11</f>
        <v>858.23601248773923</v>
      </c>
      <c r="N61" s="26">
        <f>E61*('00_통제변수'!$B$9+('00_통제변수'!$B$10-'00_통제변수'!$B$9)*(A61-1)/MAX(1,'00_통제변수'!$B$6-1))</f>
        <v>1977.1754303723785</v>
      </c>
    </row>
    <row r="62" spans="1:14">
      <c r="A62" s="20">
        <v>59</v>
      </c>
      <c r="B62" s="20">
        <v>2031</v>
      </c>
      <c r="C62" s="20">
        <v>11</v>
      </c>
      <c r="D62" s="21">
        <f>'00_통제변수'!$D$16*(1+'00_통제변수'!$D$17)^(A62-1)</f>
        <v>11.323470764736733</v>
      </c>
      <c r="E62" s="22">
        <f t="shared" si="8"/>
        <v>1093.8527060280101</v>
      </c>
      <c r="F62" s="23">
        <f>'00_통제변수'!$D$18+('00_통제변수'!$D$19-'00_통제변수'!$D$18)*MIN(1,MAX(0,(A62-'00_통제변수'!$D$20+1)/MAX(1,'00_통제변수'!$D$21)))</f>
        <v>0.15</v>
      </c>
      <c r="G62" s="22">
        <f t="shared" si="9"/>
        <v>162.37938528949098</v>
      </c>
      <c r="H62" s="22">
        <f t="shared" si="5"/>
        <v>173.70285605422771</v>
      </c>
      <c r="I62" s="24">
        <f>'00_통제변수'!$D$22+('00_통제변수'!$D$23-'00_통제변수'!$D$22)*MIN(1,MAX(0,(A62-'00_통제변수'!$D$24+1)/MAX(1,'00_통제변수'!$D$25)))</f>
        <v>1.8</v>
      </c>
      <c r="J62" s="22">
        <f t="shared" si="6"/>
        <v>312.66514089760989</v>
      </c>
      <c r="K62" s="25">
        <f>IF(A62&gt;='00_통제변수'!$D$28,'00_통제변수'!$D$27,'00_통제변수'!$D$26)</f>
        <v>26000</v>
      </c>
      <c r="L62" s="26">
        <f t="shared" si="7"/>
        <v>812.92936633378577</v>
      </c>
      <c r="M62" s="26">
        <f>L62/(1-'00_통제변수'!$B$8)*'00_통제변수'!$B$11</f>
        <v>866.66243745606164</v>
      </c>
      <c r="N62" s="26">
        <f>E62*('00_통제변수'!$B$9+('00_통제변수'!$B$10-'00_통제변수'!$B$9)*(A62-1)/MAX(1,'00_통제변수'!$B$6-1))</f>
        <v>1983.3959744216359</v>
      </c>
    </row>
    <row r="63" spans="1:14">
      <c r="A63" s="27">
        <v>60</v>
      </c>
      <c r="B63" s="27">
        <v>2031</v>
      </c>
      <c r="C63" s="27">
        <v>12</v>
      </c>
      <c r="D63" s="28">
        <f>'00_통제변수'!$D$16*(1+'00_통제변수'!$D$17)^(A63-1)</f>
        <v>11.312147293971995</v>
      </c>
      <c r="E63" s="29">
        <f t="shared" si="8"/>
        <v>1105.164853321982</v>
      </c>
      <c r="F63" s="30">
        <f>'00_통제변수'!$D$18+('00_통제변수'!$D$19-'00_통제변수'!$D$18)*MIN(1,MAX(0,(A63-'00_통제변수'!$D$20+1)/MAX(1,'00_통제변수'!$D$21)))</f>
        <v>0.15</v>
      </c>
      <c r="G63" s="29">
        <f t="shared" si="9"/>
        <v>164.07790590420151</v>
      </c>
      <c r="H63" s="29">
        <f t="shared" si="5"/>
        <v>175.39005319817352</v>
      </c>
      <c r="I63" s="31">
        <f>'00_통제변수'!$D$22+('00_통제변수'!$D$23-'00_통제변수'!$D$22)*MIN(1,MAX(0,(A63-'00_통제변수'!$D$24+1)/MAX(1,'00_통제변수'!$D$25)))</f>
        <v>1.8</v>
      </c>
      <c r="J63" s="29">
        <f t="shared" si="6"/>
        <v>315.70209575671237</v>
      </c>
      <c r="K63" s="32">
        <f>IF(A63&gt;='00_통제변수'!$D$28,'00_통제변수'!$D$27,'00_통제변수'!$D$26)</f>
        <v>26000</v>
      </c>
      <c r="L63" s="33">
        <f t="shared" si="7"/>
        <v>820.82544896745219</v>
      </c>
      <c r="M63" s="33">
        <f>L63/(1-'00_통제변수'!$B$8)*'00_통제변수'!$B$11</f>
        <v>875.08043599941607</v>
      </c>
      <c r="N63" s="33">
        <f>E63*('00_통제변수'!$B$9+('00_통제변수'!$B$10-'00_통제변수'!$B$9)*(A63-1)/MAX(1,'00_통제변수'!$B$6-1))</f>
        <v>1989.2967359795678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"/>
  <sheetViews>
    <sheetView showGridLines="0" zoomScaleNormal="100" workbookViewId="0"/>
  </sheetViews>
  <sheetFormatPr defaultColWidth="8.7109375" defaultRowHeight="15"/>
  <cols>
    <col min="1" max="1" width="6" customWidth="1"/>
    <col min="2" max="2" width="7" customWidth="1"/>
    <col min="3" max="3" width="5" customWidth="1"/>
    <col min="4" max="4" width="12" customWidth="1"/>
    <col min="5" max="5" width="13" customWidth="1"/>
    <col min="6" max="6" width="9" customWidth="1"/>
    <col min="7" max="7" width="11" customWidth="1"/>
    <col min="8" max="8" width="12" customWidth="1"/>
    <col min="9" max="10" width="11" customWidth="1"/>
    <col min="11" max="11" width="10" customWidth="1"/>
    <col min="12" max="18" width="11" customWidth="1"/>
    <col min="19" max="19" width="12" customWidth="1"/>
  </cols>
  <sheetData>
    <row r="1" spans="1:14" ht="16.5">
      <c r="A1" s="1" t="s">
        <v>89</v>
      </c>
    </row>
    <row r="2" spans="1:14">
      <c r="A2" s="2" t="s">
        <v>74</v>
      </c>
    </row>
    <row r="3" spans="1:14" ht="33.75" customHeight="1">
      <c r="A3" s="19" t="s">
        <v>75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54</v>
      </c>
      <c r="G3" s="19" t="s">
        <v>80</v>
      </c>
      <c r="H3" s="19" t="s">
        <v>81</v>
      </c>
      <c r="I3" s="19" t="s">
        <v>82</v>
      </c>
      <c r="J3" s="19" t="s">
        <v>83</v>
      </c>
      <c r="K3" s="19" t="s">
        <v>84</v>
      </c>
      <c r="L3" s="19" t="s">
        <v>85</v>
      </c>
      <c r="M3" s="19" t="s">
        <v>86</v>
      </c>
      <c r="N3" s="19" t="s">
        <v>87</v>
      </c>
    </row>
    <row r="4" spans="1:14">
      <c r="A4" s="20">
        <v>1</v>
      </c>
      <c r="B4" s="20">
        <v>2027</v>
      </c>
      <c r="C4" s="20">
        <v>1</v>
      </c>
      <c r="D4" s="21">
        <f>'00_통제변수'!$E$16*(1+'00_통제변수'!$E$17)^(A4-1)</f>
        <v>12</v>
      </c>
      <c r="E4" s="22">
        <f>'00_통제변수'!$B$7+D4</f>
        <v>418</v>
      </c>
      <c r="F4" s="23">
        <f>'00_통제변수'!$E$18+('00_통제변수'!$E$19-'00_통제변수'!$E$18)*MIN(1,MAX(0,(A4-'00_통제변수'!$E$20+1)/MAX(1,'00_통제변수'!$E$21)))</f>
        <v>0.111</v>
      </c>
      <c r="G4" s="22">
        <f>'00_통제변수'!$B$7*F4</f>
        <v>45.066000000000003</v>
      </c>
      <c r="H4" s="22">
        <f t="shared" ref="H4:H35" si="0">D4+G4</f>
        <v>57.066000000000003</v>
      </c>
      <c r="I4" s="24">
        <f>'00_통제변수'!$E$22+('00_통제변수'!$E$23-'00_통제변수'!$E$22)*MIN(1,MAX(0,(A4-'00_통제변수'!$E$24+1)/MAX(1,'00_통제변수'!$E$25)))</f>
        <v>1.2889999999999999</v>
      </c>
      <c r="J4" s="22">
        <f t="shared" ref="J4:J35" si="1">H4*I4</f>
        <v>73.558074000000005</v>
      </c>
      <c r="K4" s="25">
        <f>IF(A4&gt;='00_통제변수'!$E$28,'00_통제변수'!$E$27,'00_통제변수'!$E$26)</f>
        <v>31846</v>
      </c>
      <c r="L4" s="26">
        <f t="shared" ref="L4:L35" si="2">J4*K4/10000</f>
        <v>234.2530424604</v>
      </c>
      <c r="M4" s="26">
        <f>L4/(1-'00_통제변수'!$B$8)*'00_통제변수'!$B$11</f>
        <v>249.73671904093817</v>
      </c>
      <c r="N4" s="26">
        <f>E4*('00_통제변수'!$B$9+('00_통제변수'!$B$10-'00_통제변수'!$B$9)*(A4-1)/MAX(1,'00_통제변수'!$B$6-1))</f>
        <v>1078.44</v>
      </c>
    </row>
    <row r="5" spans="1:14">
      <c r="A5" s="20">
        <v>2</v>
      </c>
      <c r="B5" s="20">
        <v>2027</v>
      </c>
      <c r="C5" s="20">
        <v>2</v>
      </c>
      <c r="D5" s="21">
        <f>'00_통제변수'!$E$16*(1+'00_통제변수'!$E$17)^(A5-1)</f>
        <v>11.964</v>
      </c>
      <c r="E5" s="22">
        <f t="shared" ref="E5:E36" si="3">E4+D5</f>
        <v>429.964</v>
      </c>
      <c r="F5" s="23">
        <f>'00_통제변수'!$E$18+('00_통제변수'!$E$19-'00_통제변수'!$E$18)*MIN(1,MAX(0,(A5-'00_통제변수'!$E$20+1)/MAX(1,'00_통제변수'!$E$21)))</f>
        <v>0.111</v>
      </c>
      <c r="G5" s="22">
        <f t="shared" ref="G5:G36" si="4">E4*F5</f>
        <v>46.398000000000003</v>
      </c>
      <c r="H5" s="22">
        <f t="shared" si="0"/>
        <v>58.362000000000002</v>
      </c>
      <c r="I5" s="24">
        <f>'00_통제변수'!$E$22+('00_통제변수'!$E$23-'00_통제변수'!$E$22)*MIN(1,MAX(0,(A5-'00_통제변수'!$E$24+1)/MAX(1,'00_통제변수'!$E$25)))</f>
        <v>1.2889999999999999</v>
      </c>
      <c r="J5" s="22">
        <f t="shared" si="1"/>
        <v>75.228617999999997</v>
      </c>
      <c r="K5" s="25">
        <f>IF(A5&gt;='00_통제변수'!$E$28,'00_통제변수'!$E$27,'00_통제변수'!$E$26)</f>
        <v>31846</v>
      </c>
      <c r="L5" s="26">
        <f t="shared" si="2"/>
        <v>239.57305688279999</v>
      </c>
      <c r="M5" s="26">
        <f>L5/(1-'00_통제변수'!$B$8)*'00_통제변수'!$B$11</f>
        <v>255.4083762076759</v>
      </c>
      <c r="N5" s="26">
        <f>E5*('00_통제변수'!$B$9+('00_통제변수'!$B$10-'00_통제변수'!$B$9)*(A5-1)/MAX(1,'00_통제변수'!$B$6-1))</f>
        <v>1103.6228501694916</v>
      </c>
    </row>
    <row r="6" spans="1:14">
      <c r="A6" s="20">
        <v>3</v>
      </c>
      <c r="B6" s="20">
        <v>2027</v>
      </c>
      <c r="C6" s="20">
        <v>3</v>
      </c>
      <c r="D6" s="21">
        <f>'00_통제변수'!$E$16*(1+'00_통제변수'!$E$17)^(A6-1)</f>
        <v>11.928108</v>
      </c>
      <c r="E6" s="22">
        <f t="shared" si="3"/>
        <v>441.89210800000001</v>
      </c>
      <c r="F6" s="23">
        <f>'00_통제변수'!$E$18+('00_통제변수'!$E$19-'00_통제변수'!$E$18)*MIN(1,MAX(0,(A6-'00_통제변수'!$E$20+1)/MAX(1,'00_통제변수'!$E$21)))</f>
        <v>0.111</v>
      </c>
      <c r="G6" s="22">
        <f t="shared" si="4"/>
        <v>47.726004000000003</v>
      </c>
      <c r="H6" s="22">
        <f t="shared" si="0"/>
        <v>59.654112000000005</v>
      </c>
      <c r="I6" s="24">
        <f>'00_통제변수'!$E$22+('00_통제변수'!$E$23-'00_통제변수'!$E$22)*MIN(1,MAX(0,(A6-'00_통제변수'!$E$24+1)/MAX(1,'00_통제변수'!$E$25)))</f>
        <v>1.2889999999999999</v>
      </c>
      <c r="J6" s="22">
        <f t="shared" si="1"/>
        <v>76.894150367999998</v>
      </c>
      <c r="K6" s="25">
        <f>IF(A6&gt;='00_통제변수'!$E$28,'00_통제변수'!$E$27,'00_통제변수'!$E$26)</f>
        <v>31846</v>
      </c>
      <c r="L6" s="26">
        <f t="shared" si="2"/>
        <v>244.87711126193278</v>
      </c>
      <c r="M6" s="26">
        <f>L6/(1-'00_통제변수'!$B$8)*'00_통제변수'!$B$11</f>
        <v>261.06301840291343</v>
      </c>
      <c r="N6" s="26">
        <f>E6*('00_통제변수'!$B$9+('00_통제변수'!$B$10-'00_통제변수'!$B$9)*(A6-1)/MAX(1,'00_통제변수'!$B$6-1))</f>
        <v>1128.3977117166103</v>
      </c>
    </row>
    <row r="7" spans="1:14">
      <c r="A7" s="20">
        <v>4</v>
      </c>
      <c r="B7" s="20">
        <v>2027</v>
      </c>
      <c r="C7" s="20">
        <v>4</v>
      </c>
      <c r="D7" s="21">
        <f>'00_통제변수'!$E$16*(1+'00_통제변수'!$E$17)^(A7-1)</f>
        <v>11.892323676</v>
      </c>
      <c r="E7" s="22">
        <f t="shared" si="3"/>
        <v>453.784431676</v>
      </c>
      <c r="F7" s="23">
        <f>'00_통제변수'!$E$18+('00_통제변수'!$E$19-'00_통제변수'!$E$18)*MIN(1,MAX(0,(A7-'00_통제변수'!$E$20+1)/MAX(1,'00_통제변수'!$E$21)))</f>
        <v>0.111</v>
      </c>
      <c r="G7" s="22">
        <f t="shared" si="4"/>
        <v>49.050023988</v>
      </c>
      <c r="H7" s="22">
        <f t="shared" si="0"/>
        <v>60.942347663999996</v>
      </c>
      <c r="I7" s="24">
        <f>'00_통제변수'!$E$22+('00_통제변수'!$E$23-'00_통제변수'!$E$22)*MIN(1,MAX(0,(A7-'00_통제변수'!$E$24+1)/MAX(1,'00_통제변수'!$E$25)))</f>
        <v>1.2889999999999999</v>
      </c>
      <c r="J7" s="22">
        <f t="shared" si="1"/>
        <v>78.554686138895988</v>
      </c>
      <c r="K7" s="25">
        <f>IF(A7&gt;='00_통제변수'!$E$28,'00_통제변수'!$E$27,'00_통제변수'!$E$26)</f>
        <v>31846</v>
      </c>
      <c r="L7" s="26">
        <f t="shared" si="2"/>
        <v>250.16525347792819</v>
      </c>
      <c r="M7" s="26">
        <f>L7/(1-'00_통제변수'!$B$8)*'00_통제변수'!$B$11</f>
        <v>266.70069667156525</v>
      </c>
      <c r="N7" s="26">
        <f>E7*('00_통제변수'!$B$9+('00_통제변수'!$B$10-'00_통제변수'!$B$9)*(A7-1)/MAX(1,'00_통제변수'!$B$6-1))</f>
        <v>1152.7662816881166</v>
      </c>
    </row>
    <row r="8" spans="1:14">
      <c r="A8" s="20">
        <v>5</v>
      </c>
      <c r="B8" s="20">
        <v>2027</v>
      </c>
      <c r="C8" s="20">
        <v>5</v>
      </c>
      <c r="D8" s="21">
        <f>'00_통제변수'!$E$16*(1+'00_통제변수'!$E$17)^(A8-1)</f>
        <v>11.856646704972</v>
      </c>
      <c r="E8" s="22">
        <f t="shared" si="3"/>
        <v>465.64107838097198</v>
      </c>
      <c r="F8" s="23">
        <f>'00_통제변수'!$E$18+('00_통제변수'!$E$19-'00_통제변수'!$E$18)*MIN(1,MAX(0,(A8-'00_통제변수'!$E$20+1)/MAX(1,'00_통제변수'!$E$21)))</f>
        <v>0.111</v>
      </c>
      <c r="G8" s="22">
        <f t="shared" si="4"/>
        <v>50.370071916036004</v>
      </c>
      <c r="H8" s="22">
        <f t="shared" si="0"/>
        <v>62.226718621008004</v>
      </c>
      <c r="I8" s="24">
        <f>'00_통제변수'!$E$22+('00_통제변수'!$E$23-'00_통제변수'!$E$22)*MIN(1,MAX(0,(A8-'00_통제변수'!$E$24+1)/MAX(1,'00_통제변수'!$E$25)))</f>
        <v>1.2889999999999999</v>
      </c>
      <c r="J8" s="22">
        <f t="shared" si="1"/>
        <v>80.210240302479306</v>
      </c>
      <c r="K8" s="25">
        <f>IF(A8&gt;='00_통제변수'!$E$28,'00_통제변수'!$E$27,'00_통제변수'!$E$26)</f>
        <v>31846</v>
      </c>
      <c r="L8" s="26">
        <f t="shared" si="2"/>
        <v>255.4375312672756</v>
      </c>
      <c r="M8" s="26">
        <f>L8/(1-'00_통제변수'!$B$8)*'00_통제변수'!$B$11</f>
        <v>272.32146190541113</v>
      </c>
      <c r="N8" s="26">
        <f>E8*('00_통제변수'!$B$9+('00_통제변수'!$B$10-'00_통제변수'!$B$9)*(A8-1)/MAX(1,'00_통제변수'!$B$6-1))</f>
        <v>1176.7302506203885</v>
      </c>
    </row>
    <row r="9" spans="1:14">
      <c r="A9" s="20">
        <v>6</v>
      </c>
      <c r="B9" s="20">
        <v>2027</v>
      </c>
      <c r="C9" s="20">
        <v>6</v>
      </c>
      <c r="D9" s="21">
        <f>'00_통제변수'!$E$16*(1+'00_통제변수'!$E$17)^(A9-1)</f>
        <v>11.821076764857084</v>
      </c>
      <c r="E9" s="22">
        <f t="shared" si="3"/>
        <v>477.46215514582906</v>
      </c>
      <c r="F9" s="23">
        <f>'00_통제변수'!$E$18+('00_통제변수'!$E$19-'00_통제변수'!$E$18)*MIN(1,MAX(0,(A9-'00_통제변수'!$E$20+1)/MAX(1,'00_통제변수'!$E$21)))</f>
        <v>0.11118749999999999</v>
      </c>
      <c r="G9" s="22">
        <f t="shared" si="4"/>
        <v>51.773467402484322</v>
      </c>
      <c r="H9" s="22">
        <f t="shared" si="0"/>
        <v>63.594544167341404</v>
      </c>
      <c r="I9" s="24">
        <f>'00_통제변수'!$E$22+('00_통제변수'!$E$23-'00_통제변수'!$E$22)*MIN(1,MAX(0,(A9-'00_통제변수'!$E$24+1)/MAX(1,'00_통제변수'!$E$25)))</f>
        <v>1.2944374999999999</v>
      </c>
      <c r="J9" s="22">
        <f t="shared" si="1"/>
        <v>82.319162765612987</v>
      </c>
      <c r="K9" s="25">
        <f>IF(A9&gt;='00_통제변수'!$E$28,'00_통제변수'!$E$27,'00_통제변수'!$E$26)</f>
        <v>31846</v>
      </c>
      <c r="L9" s="26">
        <f t="shared" si="2"/>
        <v>262.15360574337114</v>
      </c>
      <c r="M9" s="26">
        <f>L9/(1-'00_통제변수'!$B$8)*'00_통제변수'!$B$11</f>
        <v>279.48145601638714</v>
      </c>
      <c r="N9" s="26">
        <f>E9*('00_통제변수'!$B$9+('00_통제변수'!$B$10-'00_통제변수'!$B$9)*(A9-1)/MAX(1,'00_통제변수'!$B$6-1))</f>
        <v>1200.2913025632095</v>
      </c>
    </row>
    <row r="10" spans="1:14">
      <c r="A10" s="20">
        <v>7</v>
      </c>
      <c r="B10" s="20">
        <v>2027</v>
      </c>
      <c r="C10" s="20">
        <v>7</v>
      </c>
      <c r="D10" s="21">
        <f>'00_통제변수'!$E$16*(1+'00_통제변수'!$E$17)^(A10-1)</f>
        <v>11.785613534562513</v>
      </c>
      <c r="E10" s="22">
        <f t="shared" si="3"/>
        <v>489.24776868039157</v>
      </c>
      <c r="F10" s="23">
        <f>'00_통제변수'!$E$18+('00_통제변수'!$E$19-'00_통제변수'!$E$18)*MIN(1,MAX(0,(A10-'00_통제변수'!$E$20+1)/MAX(1,'00_통제변수'!$E$21)))</f>
        <v>0.111375</v>
      </c>
      <c r="G10" s="22">
        <f t="shared" si="4"/>
        <v>53.177347529366713</v>
      </c>
      <c r="H10" s="22">
        <f t="shared" si="0"/>
        <v>64.962961063929228</v>
      </c>
      <c r="I10" s="24">
        <f>'00_통제변수'!$E$22+('00_통제변수'!$E$23-'00_통제변수'!$E$22)*MIN(1,MAX(0,(A10-'00_통제변수'!$E$24+1)/MAX(1,'00_통제변수'!$E$25)))</f>
        <v>1.2998749999999999</v>
      </c>
      <c r="J10" s="22">
        <f t="shared" si="1"/>
        <v>84.443729012974998</v>
      </c>
      <c r="K10" s="25">
        <f>IF(A10&gt;='00_통제변수'!$E$28,'00_통제변수'!$E$27,'00_통제변수'!$E$26)</f>
        <v>31846</v>
      </c>
      <c r="L10" s="26">
        <f t="shared" si="2"/>
        <v>268.91949941472018</v>
      </c>
      <c r="M10" s="26">
        <f>L10/(1-'00_통제변수'!$B$8)*'00_통제변수'!$B$11</f>
        <v>286.69456227582111</v>
      </c>
      <c r="N10" s="26">
        <f>E10*('00_통제변수'!$B$9+('00_통제변수'!$B$10-'00_통제변수'!$B$9)*(A10-1)/MAX(1,'00_통제변수'!$B$6-1))</f>
        <v>1223.4511151034742</v>
      </c>
    </row>
    <row r="11" spans="1:14">
      <c r="A11" s="20">
        <v>8</v>
      </c>
      <c r="B11" s="20">
        <v>2027</v>
      </c>
      <c r="C11" s="20">
        <v>8</v>
      </c>
      <c r="D11" s="21">
        <f>'00_통제변수'!$E$16*(1+'00_통제변수'!$E$17)^(A11-1)</f>
        <v>11.750256693958825</v>
      </c>
      <c r="E11" s="22">
        <f t="shared" si="3"/>
        <v>500.99802537435039</v>
      </c>
      <c r="F11" s="23">
        <f>'00_통제변수'!$E$18+('00_통제변수'!$E$19-'00_통제변수'!$E$18)*MIN(1,MAX(0,(A11-'00_통제변수'!$E$20+1)/MAX(1,'00_통제변수'!$E$21)))</f>
        <v>0.1115625</v>
      </c>
      <c r="G11" s="22">
        <f t="shared" si="4"/>
        <v>54.581704193406182</v>
      </c>
      <c r="H11" s="22">
        <f t="shared" si="0"/>
        <v>66.331960887365</v>
      </c>
      <c r="I11" s="24">
        <f>'00_통제변수'!$E$22+('00_통제변수'!$E$23-'00_통제변수'!$E$22)*MIN(1,MAX(0,(A11-'00_통제변수'!$E$24+1)/MAX(1,'00_통제변수'!$E$25)))</f>
        <v>1.3053124999999999</v>
      </c>
      <c r="J11" s="22">
        <f t="shared" si="1"/>
        <v>86.58393769578862</v>
      </c>
      <c r="K11" s="25">
        <f>IF(A11&gt;='00_통제변수'!$E$28,'00_통제변수'!$E$27,'00_통제변수'!$E$26)</f>
        <v>31846</v>
      </c>
      <c r="L11" s="26">
        <f t="shared" si="2"/>
        <v>275.73520798600845</v>
      </c>
      <c r="M11" s="26">
        <f>L11/(1-'00_통제변수'!$B$8)*'00_통제변수'!$B$11</f>
        <v>293.96077610448663</v>
      </c>
      <c r="N11" s="26">
        <f>E11*('00_통제변수'!$B$9+('00_통제변수'!$B$10-'00_통제변수'!$B$9)*(A11-1)/MAX(1,'00_통제변수'!$B$6-1))</f>
        <v>1246.211359388808</v>
      </c>
    </row>
    <row r="12" spans="1:14">
      <c r="A12" s="20">
        <v>9</v>
      </c>
      <c r="B12" s="20">
        <v>2027</v>
      </c>
      <c r="C12" s="20">
        <v>9</v>
      </c>
      <c r="D12" s="21">
        <f>'00_통제변수'!$E$16*(1+'00_통제변수'!$E$17)^(A12-1)</f>
        <v>11.71500592387695</v>
      </c>
      <c r="E12" s="22">
        <f t="shared" si="3"/>
        <v>512.71303129822729</v>
      </c>
      <c r="F12" s="23">
        <f>'00_통제변수'!$E$18+('00_통제변수'!$E$19-'00_통제변수'!$E$18)*MIN(1,MAX(0,(A12-'00_통제변수'!$E$20+1)/MAX(1,'00_통제변수'!$E$21)))</f>
        <v>0.11175</v>
      </c>
      <c r="G12" s="22">
        <f t="shared" si="4"/>
        <v>55.986529335583654</v>
      </c>
      <c r="H12" s="22">
        <f t="shared" si="0"/>
        <v>67.701535259460599</v>
      </c>
      <c r="I12" s="24">
        <f>'00_통제변수'!$E$22+('00_통제변수'!$E$23-'00_통제변수'!$E$22)*MIN(1,MAX(0,(A12-'00_통제변수'!$E$24+1)/MAX(1,'00_통제변수'!$E$25)))</f>
        <v>1.3107499999999999</v>
      </c>
      <c r="J12" s="22">
        <f t="shared" si="1"/>
        <v>88.739787341337973</v>
      </c>
      <c r="K12" s="25">
        <f>IF(A12&gt;='00_통제변수'!$E$28,'00_통제변수'!$E$27,'00_통제변수'!$E$26)</f>
        <v>31846</v>
      </c>
      <c r="L12" s="26">
        <f t="shared" si="2"/>
        <v>282.6007267672249</v>
      </c>
      <c r="M12" s="26">
        <f>L12/(1-'00_통제변수'!$B$8)*'00_통제변수'!$B$11</f>
        <v>301.28009250237199</v>
      </c>
      <c r="N12" s="26">
        <f>E12*('00_통제변수'!$B$9+('00_통제변수'!$B$10-'00_통제변수'!$B$9)*(A12-1)/MAX(1,'00_통제변수'!$B$6-1))</f>
        <v>1268.5737001511054</v>
      </c>
    </row>
    <row r="13" spans="1:14">
      <c r="A13" s="20">
        <v>10</v>
      </c>
      <c r="B13" s="20">
        <v>2027</v>
      </c>
      <c r="C13" s="20">
        <v>10</v>
      </c>
      <c r="D13" s="21">
        <f>'00_통제변수'!$E$16*(1+'00_통제변수'!$E$17)^(A13-1)</f>
        <v>11.679860906105318</v>
      </c>
      <c r="E13" s="22">
        <f t="shared" si="3"/>
        <v>524.39289220433261</v>
      </c>
      <c r="F13" s="23">
        <f>'00_통제변수'!$E$18+('00_통제변수'!$E$19-'00_통제변수'!$E$18)*MIN(1,MAX(0,(A13-'00_통제변수'!$E$20+1)/MAX(1,'00_통제변수'!$E$21)))</f>
        <v>0.1119375</v>
      </c>
      <c r="G13" s="22">
        <f t="shared" si="4"/>
        <v>57.391814940945316</v>
      </c>
      <c r="H13" s="22">
        <f t="shared" si="0"/>
        <v>69.071675847050642</v>
      </c>
      <c r="I13" s="24">
        <f>'00_통제변수'!$E$22+('00_통제변수'!$E$23-'00_통제변수'!$E$22)*MIN(1,MAX(0,(A13-'00_통제변수'!$E$24+1)/MAX(1,'00_통제변수'!$E$25)))</f>
        <v>1.3161874999999998</v>
      </c>
      <c r="J13" s="22">
        <f t="shared" si="1"/>
        <v>90.911276353939954</v>
      </c>
      <c r="K13" s="25">
        <f>IF(A13&gt;='00_통제변수'!$E$28,'00_통제변수'!$E$27,'00_통제변수'!$E$26)</f>
        <v>31846</v>
      </c>
      <c r="L13" s="26">
        <f t="shared" si="2"/>
        <v>289.51605067675717</v>
      </c>
      <c r="M13" s="26">
        <f>L13/(1-'00_통제변수'!$B$8)*'00_통제변수'!$B$11</f>
        <v>308.65250605197997</v>
      </c>
      <c r="N13" s="26">
        <f>E13*('00_통제변수'!$B$9+('00_통제변수'!$B$10-'00_통제변수'!$B$9)*(A13-1)/MAX(1,'00_통제변수'!$B$6-1))</f>
        <v>1290.5397957299847</v>
      </c>
    </row>
    <row r="14" spans="1:14">
      <c r="A14" s="20">
        <v>11</v>
      </c>
      <c r="B14" s="20">
        <v>2027</v>
      </c>
      <c r="C14" s="20">
        <v>11</v>
      </c>
      <c r="D14" s="21">
        <f>'00_통제변수'!$E$16*(1+'00_통제변수'!$E$17)^(A14-1)</f>
        <v>11.644821323387003</v>
      </c>
      <c r="E14" s="22">
        <f t="shared" si="3"/>
        <v>536.03771352771957</v>
      </c>
      <c r="F14" s="23">
        <f>'00_통제변수'!$E$18+('00_통제변수'!$E$19-'00_통제변수'!$E$18)*MIN(1,MAX(0,(A14-'00_통제변수'!$E$20+1)/MAX(1,'00_통제변수'!$E$21)))</f>
        <v>0.112125</v>
      </c>
      <c r="G14" s="22">
        <f t="shared" si="4"/>
        <v>58.797553038410797</v>
      </c>
      <c r="H14" s="22">
        <f t="shared" si="0"/>
        <v>70.442374361797803</v>
      </c>
      <c r="I14" s="24">
        <f>'00_통제변수'!$E$22+('00_통제변수'!$E$23-'00_통제변수'!$E$22)*MIN(1,MAX(0,(A14-'00_통제변수'!$E$24+1)/MAX(1,'00_통제변수'!$E$25)))</f>
        <v>1.321625</v>
      </c>
      <c r="J14" s="22">
        <f t="shared" si="1"/>
        <v>93.098403015911032</v>
      </c>
      <c r="K14" s="25">
        <f>IF(A14&gt;='00_통제변수'!$E$28,'00_통제변수'!$E$27,'00_통제변수'!$E$26)</f>
        <v>31846</v>
      </c>
      <c r="L14" s="26">
        <f t="shared" si="2"/>
        <v>296.48117424447031</v>
      </c>
      <c r="M14" s="26">
        <f>L14/(1-'00_통제변수'!$B$8)*'00_통제변수'!$B$11</f>
        <v>316.07801092161014</v>
      </c>
      <c r="N14" s="26">
        <f>E14*('00_통제변수'!$B$9+('00_통제변수'!$B$10-'00_통제변수'!$B$9)*(A14-1)/MAX(1,'00_통제변수'!$B$6-1))</f>
        <v>1312.111298096157</v>
      </c>
    </row>
    <row r="15" spans="1:14">
      <c r="A15" s="27">
        <v>12</v>
      </c>
      <c r="B15" s="27">
        <v>2027</v>
      </c>
      <c r="C15" s="27">
        <v>12</v>
      </c>
      <c r="D15" s="28">
        <f>'00_통제변수'!$E$16*(1+'00_통제변수'!$E$17)^(A15-1)</f>
        <v>11.609886859416843</v>
      </c>
      <c r="E15" s="29">
        <f t="shared" si="3"/>
        <v>547.64760038713644</v>
      </c>
      <c r="F15" s="30">
        <f>'00_통제변수'!$E$18+('00_통제변수'!$E$19-'00_통제변수'!$E$18)*MIN(1,MAX(0,(A15-'00_통제변수'!$E$20+1)/MAX(1,'00_통제변수'!$E$21)))</f>
        <v>0.1123125</v>
      </c>
      <c r="G15" s="29">
        <f t="shared" si="4"/>
        <v>60.203735700582001</v>
      </c>
      <c r="H15" s="29">
        <f t="shared" si="0"/>
        <v>71.813622559998848</v>
      </c>
      <c r="I15" s="31">
        <f>'00_통제변수'!$E$22+('00_통제변수'!$E$23-'00_통제변수'!$E$22)*MIN(1,MAX(0,(A15-'00_통제변수'!$E$24+1)/MAX(1,'00_통제변수'!$E$25)))</f>
        <v>1.3270625</v>
      </c>
      <c r="J15" s="29">
        <f t="shared" si="1"/>
        <v>95.301165488528468</v>
      </c>
      <c r="K15" s="32">
        <f>IF(A15&gt;='00_통제변수'!$E$28,'00_통제변수'!$E$27,'00_통제변수'!$E$26)</f>
        <v>31846</v>
      </c>
      <c r="L15" s="33">
        <f t="shared" si="2"/>
        <v>303.49609161476775</v>
      </c>
      <c r="M15" s="33">
        <f>L15/(1-'00_통제변수'!$B$8)*'00_통제변수'!$B$11</f>
        <v>323.55660086862235</v>
      </c>
      <c r="N15" s="33">
        <f>E15*('00_통제변수'!$B$9+('00_통제변수'!$B$10-'00_통제변수'!$B$9)*(A15-1)/MAX(1,'00_통제변수'!$B$6-1))</f>
        <v>1333.2898528747166</v>
      </c>
    </row>
    <row r="16" spans="1:14">
      <c r="A16" s="20">
        <v>13</v>
      </c>
      <c r="B16" s="20">
        <v>2028</v>
      </c>
      <c r="C16" s="20">
        <v>1</v>
      </c>
      <c r="D16" s="21">
        <f>'00_통제변수'!$E$16*(1+'00_통제변수'!$E$17)^(A16-1)</f>
        <v>11.575057198838591</v>
      </c>
      <c r="E16" s="22">
        <f t="shared" si="3"/>
        <v>559.22265758597507</v>
      </c>
      <c r="F16" s="23">
        <f>'00_통제변수'!$E$18+('00_통제변수'!$E$19-'00_통제변수'!$E$18)*MIN(1,MAX(0,(A16-'00_통제변수'!$E$20+1)/MAX(1,'00_통제변수'!$E$21)))</f>
        <v>0.1125</v>
      </c>
      <c r="G16" s="22">
        <f t="shared" si="4"/>
        <v>61.61035504355285</v>
      </c>
      <c r="H16" s="22">
        <f t="shared" si="0"/>
        <v>73.185412242391436</v>
      </c>
      <c r="I16" s="24">
        <f>'00_통제변수'!$E$22+('00_통제변수'!$E$23-'00_통제변수'!$E$22)*MIN(1,MAX(0,(A16-'00_통제변수'!$E$24+1)/MAX(1,'00_통제변수'!$E$25)))</f>
        <v>1.3325</v>
      </c>
      <c r="J16" s="22">
        <f t="shared" si="1"/>
        <v>97.519561812986595</v>
      </c>
      <c r="K16" s="25">
        <f>IF(A16&gt;='00_통제변수'!$E$28,'00_통제변수'!$E$27,'00_통제변수'!$E$26)</f>
        <v>31846</v>
      </c>
      <c r="L16" s="26">
        <f t="shared" si="2"/>
        <v>310.56079654963708</v>
      </c>
      <c r="M16" s="26">
        <f>L16/(1-'00_통제변수'!$B$8)*'00_통제변수'!$B$11</f>
        <v>331.08826924268345</v>
      </c>
      <c r="N16" s="26">
        <f>E16*('00_통제변수'!$B$9+('00_통제변수'!$B$10-'00_통제변수'!$B$9)*(A16-1)/MAX(1,'00_통제변수'!$B$6-1))</f>
        <v>1354.0770993683457</v>
      </c>
    </row>
    <row r="17" spans="1:14">
      <c r="A17" s="20">
        <v>14</v>
      </c>
      <c r="B17" s="20">
        <v>2028</v>
      </c>
      <c r="C17" s="20">
        <v>2</v>
      </c>
      <c r="D17" s="21">
        <f>'00_통제변수'!$E$16*(1+'00_통제변수'!$E$17)^(A17-1)</f>
        <v>11.540332027242075</v>
      </c>
      <c r="E17" s="22">
        <f t="shared" si="3"/>
        <v>570.7629896132172</v>
      </c>
      <c r="F17" s="23">
        <f>'00_통제변수'!$E$18+('00_통제변수'!$E$19-'00_통제변수'!$E$18)*MIN(1,MAX(0,(A17-'00_통제변수'!$E$20+1)/MAX(1,'00_통제변수'!$E$21)))</f>
        <v>0.1126875</v>
      </c>
      <c r="G17" s="22">
        <f t="shared" si="4"/>
        <v>63.017403226719566</v>
      </c>
      <c r="H17" s="22">
        <f t="shared" si="0"/>
        <v>74.557735253961638</v>
      </c>
      <c r="I17" s="24">
        <f>'00_통제변수'!$E$22+('00_통제변수'!$E$23-'00_통제변수'!$E$22)*MIN(1,MAX(0,(A17-'00_통제변수'!$E$24+1)/MAX(1,'00_통제변수'!$E$25)))</f>
        <v>1.3379375</v>
      </c>
      <c r="J17" s="22">
        <f t="shared" si="1"/>
        <v>99.753589911347305</v>
      </c>
      <c r="K17" s="25">
        <f>IF(A17&gt;='00_통제변수'!$E$28,'00_통제변수'!$E$27,'00_통제변수'!$E$26)</f>
        <v>31846</v>
      </c>
      <c r="L17" s="26">
        <f t="shared" si="2"/>
        <v>317.67528243167664</v>
      </c>
      <c r="M17" s="26">
        <f>L17/(1-'00_통제변수'!$B$8)*'00_통제변수'!$B$11</f>
        <v>338.6730089889943</v>
      </c>
      <c r="N17" s="26">
        <f>E17*('00_통제변수'!$B$9+('00_통제변수'!$B$10-'00_통제변수'!$B$9)*(A17-1)/MAX(1,'00_통제변수'!$B$6-1))</f>
        <v>1374.4746705804391</v>
      </c>
    </row>
    <row r="18" spans="1:14">
      <c r="A18" s="20">
        <v>15</v>
      </c>
      <c r="B18" s="20">
        <v>2028</v>
      </c>
      <c r="C18" s="20">
        <v>3</v>
      </c>
      <c r="D18" s="21">
        <f>'00_통제변수'!$E$16*(1+'00_통제변수'!$E$17)^(A18-1)</f>
        <v>11.505711031160349</v>
      </c>
      <c r="E18" s="22">
        <f t="shared" si="3"/>
        <v>582.26870064437753</v>
      </c>
      <c r="F18" s="23">
        <f>'00_통제변수'!$E$18+('00_통제변수'!$E$19-'00_통제변수'!$E$18)*MIN(1,MAX(0,(A18-'00_통제변수'!$E$20+1)/MAX(1,'00_통제변수'!$E$21)))</f>
        <v>0.112875</v>
      </c>
      <c r="G18" s="22">
        <f t="shared" si="4"/>
        <v>64.424872452591899</v>
      </c>
      <c r="H18" s="22">
        <f t="shared" si="0"/>
        <v>75.930583483752244</v>
      </c>
      <c r="I18" s="24">
        <f>'00_통제변수'!$E$22+('00_통제변수'!$E$23-'00_통제변수'!$E$22)*MIN(1,MAX(0,(A18-'00_통제변수'!$E$24+1)/MAX(1,'00_통제변수'!$E$25)))</f>
        <v>1.343375</v>
      </c>
      <c r="J18" s="22">
        <f t="shared" si="1"/>
        <v>102.00324758748567</v>
      </c>
      <c r="K18" s="25">
        <f>IF(A18&gt;='00_통제변수'!$E$28,'00_통제변수'!$E$27,'00_통제변수'!$E$26)</f>
        <v>31846</v>
      </c>
      <c r="L18" s="26">
        <f t="shared" si="2"/>
        <v>324.83954226710688</v>
      </c>
      <c r="M18" s="26">
        <f>L18/(1-'00_통제변수'!$B$8)*'00_통제변수'!$B$11</f>
        <v>346.31081265149987</v>
      </c>
      <c r="N18" s="26">
        <f>E18*('00_통제변수'!$B$9+('00_통제변수'!$B$10-'00_통제변수'!$B$9)*(A18-1)/MAX(1,'00_통제변수'!$B$6-1))</f>
        <v>1394.4841932381448</v>
      </c>
    </row>
    <row r="19" spans="1:14">
      <c r="A19" s="20">
        <v>16</v>
      </c>
      <c r="B19" s="20">
        <v>2028</v>
      </c>
      <c r="C19" s="20">
        <v>4</v>
      </c>
      <c r="D19" s="21">
        <f>'00_통제변수'!$E$16*(1+'00_통제변수'!$E$17)^(A19-1)</f>
        <v>11.471193898066868</v>
      </c>
      <c r="E19" s="22">
        <f t="shared" si="3"/>
        <v>593.7398945424444</v>
      </c>
      <c r="F19" s="23">
        <f>'00_통제변수'!$E$18+('00_통제변수'!$E$19-'00_통제변수'!$E$18)*MIN(1,MAX(0,(A19-'00_통제변수'!$E$20+1)/MAX(1,'00_통제변수'!$E$21)))</f>
        <v>0.1130625</v>
      </c>
      <c r="G19" s="22">
        <f t="shared" si="4"/>
        <v>65.832754966604938</v>
      </c>
      <c r="H19" s="22">
        <f t="shared" si="0"/>
        <v>77.30394886467181</v>
      </c>
      <c r="I19" s="24">
        <f>'00_통제변수'!$E$22+('00_통제변수'!$E$23-'00_통제변수'!$E$22)*MIN(1,MAX(0,(A19-'00_통제변수'!$E$24+1)/MAX(1,'00_통제변수'!$E$25)))</f>
        <v>1.3488125</v>
      </c>
      <c r="J19" s="22">
        <f t="shared" si="1"/>
        <v>104.26853252803015</v>
      </c>
      <c r="K19" s="25">
        <f>IF(A19&gt;='00_통제변수'!$E$28,'00_통제변수'!$E$27,'00_통제변수'!$E$26)</f>
        <v>31846</v>
      </c>
      <c r="L19" s="26">
        <f t="shared" si="2"/>
        <v>332.05356868876481</v>
      </c>
      <c r="M19" s="26">
        <f>L19/(1-'00_통제변수'!$B$8)*'00_통제변수'!$B$11</f>
        <v>354.0016723760819</v>
      </c>
      <c r="N19" s="26">
        <f>E19*('00_통제변수'!$B$9+('00_통제변수'!$B$10-'00_통제변수'!$B$9)*(A19-1)/MAX(1,'00_통제변수'!$B$6-1))</f>
        <v>1414.1072878153268</v>
      </c>
    </row>
    <row r="20" spans="1:14">
      <c r="A20" s="20">
        <v>17</v>
      </c>
      <c r="B20" s="20">
        <v>2028</v>
      </c>
      <c r="C20" s="20">
        <v>5</v>
      </c>
      <c r="D20" s="21">
        <f>'00_통제변수'!$E$16*(1+'00_통제변수'!$E$17)^(A20-1)</f>
        <v>11.436780316372669</v>
      </c>
      <c r="E20" s="22">
        <f t="shared" si="3"/>
        <v>605.17667485881702</v>
      </c>
      <c r="F20" s="23">
        <f>'00_통제변수'!$E$18+('00_통제변수'!$E$19-'00_통제변수'!$E$18)*MIN(1,MAX(0,(A20-'00_통제변수'!$E$20+1)/MAX(1,'00_통제변수'!$E$21)))</f>
        <v>0.11325</v>
      </c>
      <c r="G20" s="22">
        <f t="shared" si="4"/>
        <v>67.241043056931829</v>
      </c>
      <c r="H20" s="22">
        <f t="shared" si="0"/>
        <v>78.677823373304506</v>
      </c>
      <c r="I20" s="24">
        <f>'00_통제변수'!$E$22+('00_통제변수'!$E$23-'00_통제변수'!$E$22)*MIN(1,MAX(0,(A20-'00_통제변수'!$E$24+1)/MAX(1,'00_통제변수'!$E$25)))</f>
        <v>1.35425</v>
      </c>
      <c r="J20" s="22">
        <f t="shared" si="1"/>
        <v>106.54944230329762</v>
      </c>
      <c r="K20" s="25">
        <f>IF(A20&gt;='00_통제변수'!$E$28,'00_통제변수'!$E$27,'00_통제변수'!$E$26)</f>
        <v>31846</v>
      </c>
      <c r="L20" s="26">
        <f t="shared" si="2"/>
        <v>339.31735395908163</v>
      </c>
      <c r="M20" s="26">
        <f>L20/(1-'00_통제변수'!$B$8)*'00_통제변수'!$B$11</f>
        <v>361.74557991373308</v>
      </c>
      <c r="N20" s="26">
        <f>E20*('00_통제변수'!$B$9+('00_통제변수'!$B$10-'00_통제변수'!$B$9)*(A20-1)/MAX(1,'00_통제변수'!$B$6-1))</f>
        <v>1433.3455685554422</v>
      </c>
    </row>
    <row r="21" spans="1:14">
      <c r="A21" s="20">
        <v>18</v>
      </c>
      <c r="B21" s="20">
        <v>2028</v>
      </c>
      <c r="C21" s="20">
        <v>6</v>
      </c>
      <c r="D21" s="21">
        <f>'00_통제변수'!$E$16*(1+'00_통제변수'!$E$17)^(A21-1)</f>
        <v>11.40246997542355</v>
      </c>
      <c r="E21" s="22">
        <f t="shared" si="3"/>
        <v>616.57914483424054</v>
      </c>
      <c r="F21" s="23">
        <f>'00_통제변수'!$E$18+('00_통제변수'!$E$19-'00_통제변수'!$E$18)*MIN(1,MAX(0,(A21-'00_통제변수'!$E$20+1)/MAX(1,'00_통제변수'!$E$21)))</f>
        <v>0.1134375</v>
      </c>
      <c r="G21" s="22">
        <f t="shared" si="4"/>
        <v>68.649729054297055</v>
      </c>
      <c r="H21" s="22">
        <f t="shared" si="0"/>
        <v>80.052199029720612</v>
      </c>
      <c r="I21" s="24">
        <f>'00_통제변수'!$E$22+('00_통제변수'!$E$23-'00_통제변수'!$E$22)*MIN(1,MAX(0,(A21-'00_통제변수'!$E$24+1)/MAX(1,'00_통제변수'!$E$25)))</f>
        <v>1.3596874999999999</v>
      </c>
      <c r="J21" s="22">
        <f t="shared" si="1"/>
        <v>108.84597436822324</v>
      </c>
      <c r="K21" s="25">
        <f>IF(A21&gt;='00_통제변수'!$E$28,'00_통제변수'!$E$27,'00_통제변수'!$E$26)</f>
        <v>31846</v>
      </c>
      <c r="L21" s="26">
        <f t="shared" si="2"/>
        <v>346.63088997304374</v>
      </c>
      <c r="M21" s="26">
        <f>L21/(1-'00_통제변수'!$B$8)*'00_통제변수'!$B$11</f>
        <v>369.54252662371402</v>
      </c>
      <c r="N21" s="26">
        <f>E21*('00_통제변수'!$B$9+('00_통제변수'!$B$10-'00_통제변수'!$B$9)*(A21-1)/MAX(1,'00_통제변수'!$B$6-1))</f>
        <v>1452.2006434943403</v>
      </c>
    </row>
    <row r="22" spans="1:14">
      <c r="A22" s="20">
        <v>19</v>
      </c>
      <c r="B22" s="20">
        <v>2028</v>
      </c>
      <c r="C22" s="20">
        <v>7</v>
      </c>
      <c r="D22" s="21">
        <f>'00_통제변수'!$E$16*(1+'00_통제변수'!$E$17)^(A22-1)</f>
        <v>11.368262565497281</v>
      </c>
      <c r="E22" s="22">
        <f t="shared" si="3"/>
        <v>627.94740739973781</v>
      </c>
      <c r="F22" s="23">
        <f>'00_통제변수'!$E$18+('00_통제변수'!$E$19-'00_통제변수'!$E$18)*MIN(1,MAX(0,(A22-'00_통제변수'!$E$20+1)/MAX(1,'00_통제변수'!$E$21)))</f>
        <v>0.113625</v>
      </c>
      <c r="G22" s="22">
        <f t="shared" si="4"/>
        <v>70.05880533179058</v>
      </c>
      <c r="H22" s="22">
        <f t="shared" si="0"/>
        <v>81.427067897287856</v>
      </c>
      <c r="I22" s="24">
        <f>'00_통제변수'!$E$22+('00_통제변수'!$E$23-'00_통제변수'!$E$22)*MIN(1,MAX(0,(A22-'00_통제변수'!$E$24+1)/MAX(1,'00_통제변수'!$E$25)))</f>
        <v>1.3651249999999999</v>
      </c>
      <c r="J22" s="22">
        <f t="shared" si="1"/>
        <v>111.15812606328508</v>
      </c>
      <c r="K22" s="25">
        <f>IF(A22&gt;='00_통제변수'!$E$28,'00_통제변수'!$E$27,'00_통제변수'!$E$26)</f>
        <v>31846</v>
      </c>
      <c r="L22" s="26">
        <f t="shared" si="2"/>
        <v>353.99416826113765</v>
      </c>
      <c r="M22" s="26">
        <f>L22/(1-'00_통제변수'!$B$8)*'00_통제변수'!$B$11</f>
        <v>377.39250347669258</v>
      </c>
      <c r="N22" s="26">
        <f>E22*('00_통제변수'!$B$9+('00_통제변수'!$B$10-'00_통제변수'!$B$9)*(A22-1)/MAX(1,'00_통제변수'!$B$6-1))</f>
        <v>1470.6741144829791</v>
      </c>
    </row>
    <row r="23" spans="1:14">
      <c r="A23" s="20">
        <v>20</v>
      </c>
      <c r="B23" s="20">
        <v>2028</v>
      </c>
      <c r="C23" s="20">
        <v>8</v>
      </c>
      <c r="D23" s="21">
        <f>'00_통제변수'!$E$16*(1+'00_통제변수'!$E$17)^(A23-1)</f>
        <v>11.334157777800788</v>
      </c>
      <c r="E23" s="22">
        <f t="shared" si="3"/>
        <v>639.2815651775386</v>
      </c>
      <c r="F23" s="23">
        <f>'00_통제변수'!$E$18+('00_통제변수'!$E$19-'00_통제변수'!$E$18)*MIN(1,MAX(0,(A23-'00_통제변수'!$E$20+1)/MAX(1,'00_통제변수'!$E$21)))</f>
        <v>0.1138125</v>
      </c>
      <c r="G23" s="22">
        <f t="shared" si="4"/>
        <v>71.468264304682663</v>
      </c>
      <c r="H23" s="22">
        <f t="shared" si="0"/>
        <v>82.802422082483446</v>
      </c>
      <c r="I23" s="24">
        <f>'00_통제변수'!$E$22+('00_통제변수'!$E$23-'00_통제변수'!$E$22)*MIN(1,MAX(0,(A23-'00_통제변수'!$E$24+1)/MAX(1,'00_통제변수'!$E$25)))</f>
        <v>1.3705624999999999</v>
      </c>
      <c r="J23" s="22">
        <f t="shared" si="1"/>
        <v>113.4858946154237</v>
      </c>
      <c r="K23" s="25">
        <f>IF(A23&gt;='00_통제변수'!$E$28,'00_통제변수'!$E$27,'00_통제변수'!$E$26)</f>
        <v>31846</v>
      </c>
      <c r="L23" s="26">
        <f t="shared" si="2"/>
        <v>361.40717999227832</v>
      </c>
      <c r="M23" s="26">
        <f>L23/(1-'00_통제변수'!$B$8)*'00_통제변수'!$B$11</f>
        <v>385.29550105786603</v>
      </c>
      <c r="N23" s="26">
        <f>E23*('00_통제변수'!$B$9+('00_통제변수'!$B$10-'00_통제변수'!$B$9)*(A23-1)/MAX(1,'00_통제변수'!$B$6-1))</f>
        <v>1488.7675772100645</v>
      </c>
    </row>
    <row r="24" spans="1:14">
      <c r="A24" s="20">
        <v>21</v>
      </c>
      <c r="B24" s="20">
        <v>2028</v>
      </c>
      <c r="C24" s="20">
        <v>9</v>
      </c>
      <c r="D24" s="21">
        <f>'00_통제변수'!$E$16*(1+'00_통제변수'!$E$17)^(A24-1)</f>
        <v>11.300155304467387</v>
      </c>
      <c r="E24" s="22">
        <f t="shared" si="3"/>
        <v>650.58172048200595</v>
      </c>
      <c r="F24" s="23">
        <f>'00_통제변수'!$E$18+('00_통제변수'!$E$19-'00_통제변수'!$E$18)*MIN(1,MAX(0,(A24-'00_통제변수'!$E$20+1)/MAX(1,'00_통제변수'!$E$21)))</f>
        <v>0.114</v>
      </c>
      <c r="G24" s="22">
        <f t="shared" si="4"/>
        <v>72.878098430239405</v>
      </c>
      <c r="H24" s="22">
        <f t="shared" si="0"/>
        <v>84.178253734706786</v>
      </c>
      <c r="I24" s="24">
        <f>'00_통제변수'!$E$22+('00_통제변수'!$E$23-'00_통제변수'!$E$22)*MIN(1,MAX(0,(A24-'00_통제변수'!$E$24+1)/MAX(1,'00_통제변수'!$E$25)))</f>
        <v>1.3759999999999999</v>
      </c>
      <c r="J24" s="22">
        <f t="shared" si="1"/>
        <v>115.82927713895653</v>
      </c>
      <c r="K24" s="25">
        <f>IF(A24&gt;='00_통제변수'!$E$28,'00_통제변수'!$E$27,'00_통제변수'!$E$26)</f>
        <v>31846</v>
      </c>
      <c r="L24" s="26">
        <f t="shared" si="2"/>
        <v>368.86991597672096</v>
      </c>
      <c r="M24" s="26">
        <f>L24/(1-'00_통제변수'!$B$8)*'00_통제변수'!$B$11</f>
        <v>393.25150957006502</v>
      </c>
      <c r="N24" s="26">
        <f>E24*('00_통제변수'!$B$9+('00_통제변수'!$B$10-'00_통제변수'!$B$9)*(A24-1)/MAX(1,'00_통제변수'!$B$6-1))</f>
        <v>1506.4826212246044</v>
      </c>
    </row>
    <row r="25" spans="1:14">
      <c r="A25" s="20">
        <v>22</v>
      </c>
      <c r="B25" s="20">
        <v>2028</v>
      </c>
      <c r="C25" s="20">
        <v>10</v>
      </c>
      <c r="D25" s="21">
        <f>'00_통제변수'!$E$16*(1+'00_통제변수'!$E$17)^(A25-1)</f>
        <v>11.266254838553984</v>
      </c>
      <c r="E25" s="22">
        <f t="shared" si="3"/>
        <v>661.84797532055995</v>
      </c>
      <c r="F25" s="23">
        <f>'00_통제변수'!$E$18+('00_통제변수'!$E$19-'00_통제변수'!$E$18)*MIN(1,MAX(0,(A25-'00_통제변수'!$E$20+1)/MAX(1,'00_통제변수'!$E$21)))</f>
        <v>0.1141875</v>
      </c>
      <c r="G25" s="22">
        <f t="shared" si="4"/>
        <v>74.288300207539052</v>
      </c>
      <c r="H25" s="22">
        <f t="shared" si="0"/>
        <v>85.554555046093043</v>
      </c>
      <c r="I25" s="24">
        <f>'00_통제변수'!$E$22+('00_통제변수'!$E$23-'00_통제변수'!$E$22)*MIN(1,MAX(0,(A25-'00_통제변수'!$E$24+1)/MAX(1,'00_통제변수'!$E$25)))</f>
        <v>1.3814374999999999</v>
      </c>
      <c r="J25" s="22">
        <f t="shared" si="1"/>
        <v>118.18827063648715</v>
      </c>
      <c r="K25" s="25">
        <f>IF(A25&gt;='00_통제변수'!$E$28,'00_통제변수'!$E$27,'00_통제변수'!$E$26)</f>
        <v>31846</v>
      </c>
      <c r="L25" s="26">
        <f t="shared" si="2"/>
        <v>376.38236666895693</v>
      </c>
      <c r="M25" s="26">
        <f>L25/(1-'00_통제변수'!$B$8)*'00_통제변수'!$B$11</f>
        <v>401.26051883684113</v>
      </c>
      <c r="N25" s="26">
        <f>E25*('00_통제변수'!$B$9+('00_통제변수'!$B$10-'00_통제변수'!$B$9)*(A25-1)/MAX(1,'00_통제변수'!$B$6-1))</f>
        <v>1523.8208299583875</v>
      </c>
    </row>
    <row r="26" spans="1:14">
      <c r="A26" s="20">
        <v>23</v>
      </c>
      <c r="B26" s="20">
        <v>2028</v>
      </c>
      <c r="C26" s="20">
        <v>11</v>
      </c>
      <c r="D26" s="21">
        <f>'00_통제변수'!$E$16*(1+'00_통제변수'!$E$17)^(A26-1)</f>
        <v>11.232456074038323</v>
      </c>
      <c r="E26" s="22">
        <f t="shared" si="3"/>
        <v>673.08043139459824</v>
      </c>
      <c r="F26" s="23">
        <f>'00_통제변수'!$E$18+('00_통제변수'!$E$19-'00_통제변수'!$E$18)*MIN(1,MAX(0,(A26-'00_통제변수'!$E$20+1)/MAX(1,'00_통제변수'!$E$21)))</f>
        <v>0.114375</v>
      </c>
      <c r="G26" s="22">
        <f t="shared" si="4"/>
        <v>75.698862177289044</v>
      </c>
      <c r="H26" s="22">
        <f t="shared" si="0"/>
        <v>86.931318251327369</v>
      </c>
      <c r="I26" s="24">
        <f>'00_통제변수'!$E$22+('00_통제변수'!$E$23-'00_통제변수'!$E$22)*MIN(1,MAX(0,(A26-'00_통제변수'!$E$24+1)/MAX(1,'00_통제변수'!$E$25)))</f>
        <v>1.3868749999999999</v>
      </c>
      <c r="J26" s="22">
        <f t="shared" si="1"/>
        <v>120.56287199980963</v>
      </c>
      <c r="K26" s="25">
        <f>IF(A26&gt;='00_통제변수'!$E$28,'00_통제변수'!$E$27,'00_통제변수'!$E$26)</f>
        <v>31846</v>
      </c>
      <c r="L26" s="26">
        <f t="shared" si="2"/>
        <v>383.94452217059376</v>
      </c>
      <c r="M26" s="26">
        <f>L26/(1-'00_통제변수'!$B$8)*'00_통제변수'!$B$11</f>
        <v>409.32251830553707</v>
      </c>
      <c r="N26" s="26">
        <f>E26*('00_통제변수'!$B$9+('00_통제변수'!$B$10-'00_통제변수'!$B$9)*(A26-1)/MAX(1,'00_통제변수'!$B$6-1))</f>
        <v>1540.7837807483802</v>
      </c>
    </row>
    <row r="27" spans="1:14">
      <c r="A27" s="27">
        <v>24</v>
      </c>
      <c r="B27" s="27">
        <v>2028</v>
      </c>
      <c r="C27" s="27">
        <v>12</v>
      </c>
      <c r="D27" s="28">
        <f>'00_통제변수'!$E$16*(1+'00_통제변수'!$E$17)^(A27-1)</f>
        <v>11.198758705816207</v>
      </c>
      <c r="E27" s="29">
        <f t="shared" si="3"/>
        <v>684.27919010041444</v>
      </c>
      <c r="F27" s="30">
        <f>'00_통제변수'!$E$18+('00_통제변수'!$E$19-'00_통제변수'!$E$18)*MIN(1,MAX(0,(A27-'00_통제변수'!$E$20+1)/MAX(1,'00_통제변수'!$E$21)))</f>
        <v>0.1145625</v>
      </c>
      <c r="G27" s="29">
        <f t="shared" si="4"/>
        <v>77.109776921643657</v>
      </c>
      <c r="H27" s="29">
        <f t="shared" si="0"/>
        <v>88.308535627459861</v>
      </c>
      <c r="I27" s="31">
        <f>'00_통제변수'!$E$22+('00_통제변수'!$E$23-'00_통제변수'!$E$22)*MIN(1,MAX(0,(A27-'00_통제변수'!$E$24+1)/MAX(1,'00_통제변수'!$E$25)))</f>
        <v>1.3923125000000001</v>
      </c>
      <c r="J27" s="29">
        <f t="shared" si="1"/>
        <v>122.95307801080772</v>
      </c>
      <c r="K27" s="32">
        <f>IF(A27&gt;='00_통제변수'!$E$28,'00_통제변수'!$E$27,'00_통제변수'!$E$26)</f>
        <v>31846</v>
      </c>
      <c r="L27" s="33">
        <f t="shared" si="2"/>
        <v>391.55637223321821</v>
      </c>
      <c r="M27" s="33">
        <f>L27/(1-'00_통제변수'!$B$8)*'00_통제변수'!$B$11</f>
        <v>417.43749705033929</v>
      </c>
      <c r="N27" s="33">
        <f>E27*('00_통제변수'!$B$9+('00_통제변수'!$B$10-'00_통제변수'!$B$9)*(A27-1)/MAX(1,'00_통제변수'!$B$6-1))</f>
        <v>1557.3730448590447</v>
      </c>
    </row>
    <row r="28" spans="1:14">
      <c r="A28" s="20">
        <v>25</v>
      </c>
      <c r="B28" s="20">
        <v>2029</v>
      </c>
      <c r="C28" s="20">
        <v>1</v>
      </c>
      <c r="D28" s="21">
        <f>'00_통제변수'!$E$16*(1+'00_통제변수'!$E$17)^(A28-1)</f>
        <v>11.165162429698759</v>
      </c>
      <c r="E28" s="22">
        <f t="shared" si="3"/>
        <v>695.44435253011318</v>
      </c>
      <c r="F28" s="23">
        <f>'00_통제변수'!$E$18+('00_통제변수'!$E$19-'00_통제변수'!$E$18)*MIN(1,MAX(0,(A28-'00_통제변수'!$E$20+1)/MAX(1,'00_통제변수'!$E$21)))</f>
        <v>0.11475</v>
      </c>
      <c r="G28" s="22">
        <f t="shared" si="4"/>
        <v>78.521037064022565</v>
      </c>
      <c r="H28" s="22">
        <f t="shared" si="0"/>
        <v>89.686199493721318</v>
      </c>
      <c r="I28" s="24">
        <f>'00_통제변수'!$E$22+('00_통제변수'!$E$23-'00_통제변수'!$E$22)*MIN(1,MAX(0,(A28-'00_통제변수'!$E$24+1)/MAX(1,'00_통제변수'!$E$25)))</f>
        <v>1.39775</v>
      </c>
      <c r="J28" s="22">
        <f t="shared" si="1"/>
        <v>125.35888534234898</v>
      </c>
      <c r="K28" s="25">
        <f>IF(A28&gt;='00_통제변수'!$E$28,'00_통제변수'!$E$27,'00_통제변수'!$E$26)</f>
        <v>31846</v>
      </c>
      <c r="L28" s="26">
        <f t="shared" si="2"/>
        <v>399.21790626124454</v>
      </c>
      <c r="M28" s="26">
        <f>L28/(1-'00_통제변수'!$B$8)*'00_통제변수'!$B$11</f>
        <v>425.60544377531403</v>
      </c>
      <c r="N28" s="26">
        <f>E28*('00_통제변수'!$B$9+('00_통제변수'!$B$10-'00_통제변수'!$B$9)*(A28-1)/MAX(1,'00_통제변수'!$B$6-1))</f>
        <v>1573.5901875045784</v>
      </c>
    </row>
    <row r="29" spans="1:14">
      <c r="A29" s="20">
        <v>26</v>
      </c>
      <c r="B29" s="20">
        <v>2029</v>
      </c>
      <c r="C29" s="20">
        <v>2</v>
      </c>
      <c r="D29" s="21">
        <f>'00_통제변수'!$E$16*(1+'00_통제변수'!$E$17)^(A29-1)</f>
        <v>11.131666942409662</v>
      </c>
      <c r="E29" s="22">
        <f t="shared" si="3"/>
        <v>706.57601947252283</v>
      </c>
      <c r="F29" s="23">
        <f>'00_통제변수'!$E$18+('00_통제변수'!$E$19-'00_통제변수'!$E$18)*MIN(1,MAX(0,(A29-'00_통제변수'!$E$20+1)/MAX(1,'00_통제변수'!$E$21)))</f>
        <v>0.1149375</v>
      </c>
      <c r="G29" s="22">
        <f t="shared" si="4"/>
        <v>79.932635268929886</v>
      </c>
      <c r="H29" s="22">
        <f t="shared" si="0"/>
        <v>91.064302211339552</v>
      </c>
      <c r="I29" s="24">
        <f>'00_통제변수'!$E$22+('00_통제변수'!$E$23-'00_통제변수'!$E$22)*MIN(1,MAX(0,(A29-'00_통제변수'!$E$24+1)/MAX(1,'00_통제변수'!$E$25)))</f>
        <v>1.4031875</v>
      </c>
      <c r="J29" s="22">
        <f t="shared" si="1"/>
        <v>127.78029055917402</v>
      </c>
      <c r="K29" s="25">
        <f>IF(A29&gt;='00_통제변수'!$E$28,'00_통제변수'!$E$27,'00_통제변수'!$E$26)</f>
        <v>31846</v>
      </c>
      <c r="L29" s="26">
        <f t="shared" si="2"/>
        <v>406.92911331474556</v>
      </c>
      <c r="M29" s="26">
        <f>L29/(1-'00_통제변수'!$B$8)*'00_통제변수'!$B$11</f>
        <v>433.82634681742599</v>
      </c>
      <c r="N29" s="26">
        <f>E29*('00_통제변수'!$B$9+('00_통제변수'!$B$10-'00_통제변수'!$B$9)*(A29-1)/MAX(1,'00_통제변수'!$B$6-1))</f>
        <v>1589.4367678710717</v>
      </c>
    </row>
    <row r="30" spans="1:14">
      <c r="A30" s="20">
        <v>27</v>
      </c>
      <c r="B30" s="20">
        <v>2029</v>
      </c>
      <c r="C30" s="20">
        <v>3</v>
      </c>
      <c r="D30" s="21">
        <f>'00_통제변수'!$E$16*(1+'00_통제변수'!$E$17)^(A30-1)</f>
        <v>11.098271941582436</v>
      </c>
      <c r="E30" s="22">
        <f t="shared" si="3"/>
        <v>717.67429141410526</v>
      </c>
      <c r="F30" s="23">
        <f>'00_통제변수'!$E$18+('00_통제변수'!$E$19-'00_통제변수'!$E$18)*MIN(1,MAX(0,(A30-'00_통제변수'!$E$20+1)/MAX(1,'00_통제변수'!$E$21)))</f>
        <v>0.11512500000000001</v>
      </c>
      <c r="G30" s="22">
        <f t="shared" si="4"/>
        <v>81.344564241774194</v>
      </c>
      <c r="H30" s="22">
        <f t="shared" si="0"/>
        <v>92.442836183356633</v>
      </c>
      <c r="I30" s="24">
        <f>'00_통제변수'!$E$22+('00_통제변수'!$E$23-'00_통제변수'!$E$22)*MIN(1,MAX(0,(A30-'00_통제변수'!$E$24+1)/MAX(1,'00_통제변수'!$E$25)))</f>
        <v>1.408625</v>
      </c>
      <c r="J30" s="22">
        <f t="shared" si="1"/>
        <v>130.21729011878074</v>
      </c>
      <c r="K30" s="25">
        <f>IF(A30&gt;='00_통제변수'!$E$28,'00_통제변수'!$E$27,'00_통제변수'!$E$26)</f>
        <v>31846</v>
      </c>
      <c r="L30" s="26">
        <f t="shared" si="2"/>
        <v>414.68998211226915</v>
      </c>
      <c r="M30" s="26">
        <f>L30/(1-'00_통제변수'!$B$8)*'00_통제변수'!$B$11</f>
        <v>442.1001941495407</v>
      </c>
      <c r="N30" s="26">
        <f>E30*('00_통제변수'!$B$9+('00_통제변수'!$B$10-'00_통제변수'!$B$9)*(A30-1)/MAX(1,'00_통제변수'!$B$6-1))</f>
        <v>1604.914339138594</v>
      </c>
    </row>
    <row r="31" spans="1:14">
      <c r="A31" s="20">
        <v>28</v>
      </c>
      <c r="B31" s="20">
        <v>2029</v>
      </c>
      <c r="C31" s="20">
        <v>4</v>
      </c>
      <c r="D31" s="21">
        <f>'00_통제변수'!$E$16*(1+'00_통제변수'!$E$17)^(A31-1)</f>
        <v>11.064977125757686</v>
      </c>
      <c r="E31" s="22">
        <f t="shared" si="3"/>
        <v>728.73926853986291</v>
      </c>
      <c r="F31" s="23">
        <f>'00_통제변수'!$E$18+('00_통제변수'!$E$19-'00_통제변수'!$E$18)*MIN(1,MAX(0,(A31-'00_통제변수'!$E$20+1)/MAX(1,'00_통제변수'!$E$21)))</f>
        <v>0.1153125</v>
      </c>
      <c r="G31" s="22">
        <f t="shared" si="4"/>
        <v>82.756816728689017</v>
      </c>
      <c r="H31" s="22">
        <f t="shared" si="0"/>
        <v>93.821793854446696</v>
      </c>
      <c r="I31" s="24">
        <f>'00_통제변수'!$E$22+('00_통제변수'!$E$23-'00_통제변수'!$E$22)*MIN(1,MAX(0,(A31-'00_통제변수'!$E$24+1)/MAX(1,'00_통제변수'!$E$25)))</f>
        <v>1.4140625</v>
      </c>
      <c r="J31" s="22">
        <f t="shared" si="1"/>
        <v>132.66988037230354</v>
      </c>
      <c r="K31" s="25">
        <f>IF(A31&gt;='00_통제변수'!$E$28,'00_통제변수'!$E$27,'00_통제변수'!$E$26)</f>
        <v>31846</v>
      </c>
      <c r="L31" s="26">
        <f t="shared" si="2"/>
        <v>422.50050103363787</v>
      </c>
      <c r="M31" s="26">
        <f>L31/(1-'00_통제변수'!$B$8)*'00_통제변수'!$B$11</f>
        <v>450.42697338340929</v>
      </c>
      <c r="N31" s="26">
        <f>E31*('00_통제변수'!$B$9+('00_통제변수'!$B$10-'00_통제변수'!$B$9)*(A31-1)/MAX(1,'00_통제변수'!$B$6-1))</f>
        <v>1620.0244485031938</v>
      </c>
    </row>
    <row r="32" spans="1:14">
      <c r="A32" s="20">
        <v>29</v>
      </c>
      <c r="B32" s="20">
        <v>2029</v>
      </c>
      <c r="C32" s="20">
        <v>5</v>
      </c>
      <c r="D32" s="21">
        <f>'00_통제변수'!$E$16*(1+'00_통제변수'!$E$17)^(A32-1)</f>
        <v>11.031782194380414</v>
      </c>
      <c r="E32" s="22">
        <f t="shared" si="3"/>
        <v>739.77105073424332</v>
      </c>
      <c r="F32" s="23">
        <f>'00_통제변수'!$E$18+('00_통제변수'!$E$19-'00_통제변수'!$E$18)*MIN(1,MAX(0,(A32-'00_통제변수'!$E$20+1)/MAX(1,'00_통제변수'!$E$21)))</f>
        <v>0.11549999999999999</v>
      </c>
      <c r="G32" s="22">
        <f t="shared" si="4"/>
        <v>84.169385516354154</v>
      </c>
      <c r="H32" s="22">
        <f t="shared" si="0"/>
        <v>95.201167710734566</v>
      </c>
      <c r="I32" s="24">
        <f>'00_통제변수'!$E$22+('00_통제변수'!$E$23-'00_통제변수'!$E$22)*MIN(1,MAX(0,(A32-'00_통제변수'!$E$24+1)/MAX(1,'00_통제변수'!$E$25)))</f>
        <v>1.4195</v>
      </c>
      <c r="J32" s="22">
        <f t="shared" si="1"/>
        <v>135.13805756538773</v>
      </c>
      <c r="K32" s="25">
        <f>IF(A32&gt;='00_통제변수'!$E$28,'00_통제변수'!$E$27,'00_통제변수'!$E$26)</f>
        <v>31846</v>
      </c>
      <c r="L32" s="26">
        <f t="shared" si="2"/>
        <v>430.36065812273381</v>
      </c>
      <c r="M32" s="26">
        <f>L32/(1-'00_통제변수'!$B$8)*'00_통제변수'!$B$11</f>
        <v>458.80667177263734</v>
      </c>
      <c r="N32" s="26">
        <f>E32*('00_통제변수'!$B$9+('00_통제변수'!$B$10-'00_통제변수'!$B$9)*(A32-1)/MAX(1,'00_통제변수'!$B$6-1))</f>
        <v>1634.7686371988245</v>
      </c>
    </row>
    <row r="33" spans="1:14">
      <c r="A33" s="20">
        <v>30</v>
      </c>
      <c r="B33" s="20">
        <v>2029</v>
      </c>
      <c r="C33" s="20">
        <v>6</v>
      </c>
      <c r="D33" s="21">
        <f>'00_통제변수'!$E$16*(1+'00_통제변수'!$E$17)^(A33-1)</f>
        <v>10.998686847797272</v>
      </c>
      <c r="E33" s="22">
        <f t="shared" si="3"/>
        <v>750.76973758204053</v>
      </c>
      <c r="F33" s="23">
        <f>'00_통제변수'!$E$18+('00_통제변수'!$E$19-'00_통제변수'!$E$18)*MIN(1,MAX(0,(A33-'00_통제변수'!$E$20+1)/MAX(1,'00_통제변수'!$E$21)))</f>
        <v>0.1156875</v>
      </c>
      <c r="G33" s="22">
        <f t="shared" si="4"/>
        <v>85.582263431817779</v>
      </c>
      <c r="H33" s="22">
        <f t="shared" si="0"/>
        <v>96.580950279615053</v>
      </c>
      <c r="I33" s="24">
        <f>'00_통제변수'!$E$22+('00_통제변수'!$E$23-'00_통제변수'!$E$22)*MIN(1,MAX(0,(A33-'00_통제변수'!$E$24+1)/MAX(1,'00_통제변수'!$E$25)))</f>
        <v>1.4249375</v>
      </c>
      <c r="J33" s="22">
        <f t="shared" si="1"/>
        <v>137.62181783905896</v>
      </c>
      <c r="K33" s="25">
        <f>IF(A33&gt;='00_통제변수'!$E$28,'00_통제변수'!$E$27,'00_통제변수'!$E$26)</f>
        <v>31846</v>
      </c>
      <c r="L33" s="26">
        <f t="shared" si="2"/>
        <v>438.27044109026713</v>
      </c>
      <c r="M33" s="26">
        <f>L33/(1-'00_통제변수'!$B$8)*'00_통제변수'!$B$11</f>
        <v>467.23927621563661</v>
      </c>
      <c r="N33" s="26">
        <f>E33*('00_통제변수'!$B$9+('00_통제변수'!$B$10-'00_통제변수'!$B$9)*(A33-1)/MAX(1,'00_통제변수'!$B$6-1))</f>
        <v>1649.1484405191941</v>
      </c>
    </row>
    <row r="34" spans="1:14">
      <c r="A34" s="20">
        <v>31</v>
      </c>
      <c r="B34" s="20">
        <v>2029</v>
      </c>
      <c r="C34" s="20">
        <v>7</v>
      </c>
      <c r="D34" s="21">
        <f>'00_통제변수'!$E$16*(1+'00_통제변수'!$E$17)^(A34-1)</f>
        <v>10.96569078725388</v>
      </c>
      <c r="E34" s="22">
        <f t="shared" si="3"/>
        <v>761.73542836929437</v>
      </c>
      <c r="F34" s="23">
        <f>'00_통제변수'!$E$18+('00_통제변수'!$E$19-'00_통제변수'!$E$18)*MIN(1,MAX(0,(A34-'00_통제변수'!$E$20+1)/MAX(1,'00_통제변수'!$E$21)))</f>
        <v>0.11587499999999999</v>
      </c>
      <c r="G34" s="22">
        <f t="shared" si="4"/>
        <v>86.995443342318936</v>
      </c>
      <c r="H34" s="22">
        <f t="shared" si="0"/>
        <v>97.961134129572812</v>
      </c>
      <c r="I34" s="24">
        <f>'00_통제변수'!$E$22+('00_통제변수'!$E$23-'00_통제변수'!$E$22)*MIN(1,MAX(0,(A34-'00_통제변수'!$E$24+1)/MAX(1,'00_통제변수'!$E$25)))</f>
        <v>1.430375</v>
      </c>
      <c r="J34" s="22">
        <f t="shared" si="1"/>
        <v>140.1211572305877</v>
      </c>
      <c r="K34" s="25">
        <f>IF(A34&gt;='00_통제변수'!$E$28,'00_통제변수'!$E$27,'00_통제변수'!$E$26)</f>
        <v>31846</v>
      </c>
      <c r="L34" s="26">
        <f t="shared" si="2"/>
        <v>446.22983731652954</v>
      </c>
      <c r="M34" s="26">
        <f>L34/(1-'00_통제변수'!$B$8)*'00_통제변수'!$B$11</f>
        <v>475.72477325856033</v>
      </c>
      <c r="N34" s="26">
        <f>E34*('00_통제변수'!$B$9+('00_통제변수'!$B$10-'00_통제변수'!$B$9)*(A34-1)/MAX(1,'00_통제변수'!$B$6-1))</f>
        <v>1663.1653878395339</v>
      </c>
    </row>
    <row r="35" spans="1:14">
      <c r="A35" s="20">
        <v>32</v>
      </c>
      <c r="B35" s="20">
        <v>2029</v>
      </c>
      <c r="C35" s="20">
        <v>8</v>
      </c>
      <c r="D35" s="21">
        <f>'00_통제변수'!$E$16*(1+'00_통제변수'!$E$17)^(A35-1)</f>
        <v>10.932793714892119</v>
      </c>
      <c r="E35" s="22">
        <f t="shared" si="3"/>
        <v>772.66822208418648</v>
      </c>
      <c r="F35" s="23">
        <f>'00_통제변수'!$E$18+('00_통제변수'!$E$19-'00_통제변수'!$E$18)*MIN(1,MAX(0,(A35-'00_통제변수'!$E$20+1)/MAX(1,'00_통제변수'!$E$21)))</f>
        <v>0.1160625</v>
      </c>
      <c r="G35" s="22">
        <f t="shared" si="4"/>
        <v>88.408918155111223</v>
      </c>
      <c r="H35" s="22">
        <f t="shared" si="0"/>
        <v>99.341711870003337</v>
      </c>
      <c r="I35" s="24">
        <f>'00_통제변수'!$E$22+('00_통제변수'!$E$23-'00_통제변수'!$E$22)*MIN(1,MAX(0,(A35-'00_통제변수'!$E$24+1)/MAX(1,'00_통제변수'!$E$25)))</f>
        <v>1.4358124999999999</v>
      </c>
      <c r="J35" s="22">
        <f t="shared" si="1"/>
        <v>142.63607167434915</v>
      </c>
      <c r="K35" s="25">
        <f>IF(A35&gt;='00_통제변수'!$E$28,'00_통제변수'!$E$27,'00_통제변수'!$E$26)</f>
        <v>31846</v>
      </c>
      <c r="L35" s="26">
        <f t="shared" si="2"/>
        <v>454.23883385413234</v>
      </c>
      <c r="M35" s="26">
        <f>L35/(1-'00_통제변수'!$B$8)*'00_통제변수'!$B$11</f>
        <v>484.26314909822213</v>
      </c>
      <c r="N35" s="26">
        <f>E35*('00_통제변수'!$B$9+('00_통제변수'!$B$10-'00_통제변수'!$B$9)*(A35-1)/MAX(1,'00_통제변수'!$B$6-1))</f>
        <v>1676.8210026382924</v>
      </c>
    </row>
    <row r="36" spans="1:14">
      <c r="A36" s="20">
        <v>33</v>
      </c>
      <c r="B36" s="20">
        <v>2029</v>
      </c>
      <c r="C36" s="20">
        <v>9</v>
      </c>
      <c r="D36" s="21">
        <f>'00_통제변수'!$E$16*(1+'00_통제변수'!$E$17)^(A36-1)</f>
        <v>10.899995333747444</v>
      </c>
      <c r="E36" s="22">
        <f t="shared" si="3"/>
        <v>783.56821741793397</v>
      </c>
      <c r="F36" s="23">
        <f>'00_통제변수'!$E$18+('00_통제변수'!$E$19-'00_통제변수'!$E$18)*MIN(1,MAX(0,(A36-'00_통제변수'!$E$20+1)/MAX(1,'00_통제변수'!$E$21)))</f>
        <v>0.11624999999999999</v>
      </c>
      <c r="G36" s="22">
        <f t="shared" si="4"/>
        <v>89.822680817286667</v>
      </c>
      <c r="H36" s="22">
        <f t="shared" ref="H36:H63" si="5">D36+G36</f>
        <v>100.72267615103411</v>
      </c>
      <c r="I36" s="24">
        <f>'00_통제변수'!$E$22+('00_통제변수'!$E$23-'00_통제변수'!$E$22)*MIN(1,MAX(0,(A36-'00_통제변수'!$E$24+1)/MAX(1,'00_통제변수'!$E$25)))</f>
        <v>1.4412499999999999</v>
      </c>
      <c r="J36" s="22">
        <f t="shared" ref="J36:J63" si="6">H36*I36</f>
        <v>145.16655700267791</v>
      </c>
      <c r="K36" s="25">
        <f>IF(A36&gt;='00_통제변수'!$E$28,'00_통제변수'!$E$27,'00_통제변수'!$E$26)</f>
        <v>31846</v>
      </c>
      <c r="L36" s="26">
        <f t="shared" ref="L36:L63" si="7">J36*K36/10000</f>
        <v>462.29741743072805</v>
      </c>
      <c r="M36" s="26">
        <f>L36/(1-'00_통제변수'!$B$8)*'00_통제변수'!$B$11</f>
        <v>492.85438958499793</v>
      </c>
      <c r="N36" s="26">
        <f>E36*('00_통제변수'!$B$9+('00_통제변수'!$B$10-'00_통제변수'!$B$9)*(A36-1)/MAX(1,'00_통제변수'!$B$6-1))</f>
        <v>1690.1168025187505</v>
      </c>
    </row>
    <row r="37" spans="1:14">
      <c r="A37" s="20">
        <v>34</v>
      </c>
      <c r="B37" s="20">
        <v>2029</v>
      </c>
      <c r="C37" s="20">
        <v>10</v>
      </c>
      <c r="D37" s="21">
        <f>'00_통제변수'!$E$16*(1+'00_통제변수'!$E$17)^(A37-1)</f>
        <v>10.8672953477462</v>
      </c>
      <c r="E37" s="22">
        <f t="shared" ref="E37:E63" si="8">E36+D37</f>
        <v>794.43551276568019</v>
      </c>
      <c r="F37" s="23">
        <f>'00_통제변수'!$E$18+('00_통제변수'!$E$19-'00_통제변수'!$E$18)*MIN(1,MAX(0,(A37-'00_통제변수'!$E$20+1)/MAX(1,'00_통제변수'!$E$21)))</f>
        <v>0.1164375</v>
      </c>
      <c r="G37" s="22">
        <f t="shared" ref="G37:G63" si="9">E36*F37</f>
        <v>91.236724315600682</v>
      </c>
      <c r="H37" s="22">
        <f t="shared" si="5"/>
        <v>102.10401966334689</v>
      </c>
      <c r="I37" s="24">
        <f>'00_통제변수'!$E$22+('00_통제변수'!$E$23-'00_통제변수'!$E$22)*MIN(1,MAX(0,(A37-'00_통제변수'!$E$24+1)/MAX(1,'00_통제변수'!$E$25)))</f>
        <v>1.4466874999999999</v>
      </c>
      <c r="J37" s="22">
        <f t="shared" si="6"/>
        <v>147.71260894671815</v>
      </c>
      <c r="K37" s="25">
        <f>IF(A37&gt;='00_통제변수'!$E$28,'00_통제변수'!$E$27,'00_통제변수'!$E$26)</f>
        <v>31846</v>
      </c>
      <c r="L37" s="26">
        <f t="shared" si="7"/>
        <v>470.40557445171856</v>
      </c>
      <c r="M37" s="26">
        <f>L37/(1-'00_통제변수'!$B$8)*'00_통제변수'!$B$11</f>
        <v>501.4984802257128</v>
      </c>
      <c r="N37" s="26">
        <f>E37*('00_통제변수'!$B$9+('00_통제변수'!$B$10-'00_통제변수'!$B$9)*(A37-1)/MAX(1,'00_통제변수'!$B$6-1))</f>
        <v>1703.0542992305632</v>
      </c>
    </row>
    <row r="38" spans="1:14">
      <c r="A38" s="20">
        <v>35</v>
      </c>
      <c r="B38" s="20">
        <v>2029</v>
      </c>
      <c r="C38" s="20">
        <v>11</v>
      </c>
      <c r="D38" s="21">
        <f>'00_통제변수'!$E$16*(1+'00_통제변수'!$E$17)^(A38-1)</f>
        <v>10.834693461702962</v>
      </c>
      <c r="E38" s="22">
        <f t="shared" si="8"/>
        <v>805.27020622738314</v>
      </c>
      <c r="F38" s="23">
        <f>'00_통제변수'!$E$18+('00_통제변수'!$E$19-'00_통제변수'!$E$18)*MIN(1,MAX(0,(A38-'00_통제변수'!$E$20+1)/MAX(1,'00_통제변수'!$E$21)))</f>
        <v>0.11662499999999999</v>
      </c>
      <c r="G38" s="22">
        <f t="shared" si="9"/>
        <v>92.651041676297453</v>
      </c>
      <c r="H38" s="22">
        <f t="shared" si="5"/>
        <v>103.48573513800042</v>
      </c>
      <c r="I38" s="24">
        <f>'00_통제변수'!$E$22+('00_통제변수'!$E$23-'00_통제변수'!$E$22)*MIN(1,MAX(0,(A38-'00_통제변수'!$E$24+1)/MAX(1,'00_통제변수'!$E$25)))</f>
        <v>1.4521250000000001</v>
      </c>
      <c r="J38" s="22">
        <f t="shared" si="6"/>
        <v>150.27422313726888</v>
      </c>
      <c r="K38" s="25">
        <f>IF(A38&gt;='00_통제변수'!$E$28,'00_통제변수'!$E$27,'00_통제변수'!$E$26)</f>
        <v>31846</v>
      </c>
      <c r="L38" s="26">
        <f t="shared" si="7"/>
        <v>478.56329100294641</v>
      </c>
      <c r="M38" s="26">
        <f>L38/(1-'00_통제변수'!$B$8)*'00_통제변수'!$B$11</f>
        <v>510.19540618651007</v>
      </c>
      <c r="N38" s="26">
        <f>E38*('00_통제변수'!$B$9+('00_통제변수'!$B$10-'00_통제변수'!$B$9)*(A38-1)/MAX(1,'00_통제변수'!$B$6-1))</f>
        <v>1715.6349986912217</v>
      </c>
    </row>
    <row r="39" spans="1:14">
      <c r="A39" s="27">
        <v>36</v>
      </c>
      <c r="B39" s="27">
        <v>2029</v>
      </c>
      <c r="C39" s="27">
        <v>12</v>
      </c>
      <c r="D39" s="28">
        <f>'00_통제변수'!$E$16*(1+'00_통제변수'!$E$17)^(A39-1)</f>
        <v>10.802189381317852</v>
      </c>
      <c r="E39" s="29">
        <f t="shared" si="8"/>
        <v>816.07239560870096</v>
      </c>
      <c r="F39" s="30">
        <f>'00_통제변수'!$E$18+('00_통제변수'!$E$19-'00_통제변수'!$E$18)*MIN(1,MAX(0,(A39-'00_통제변수'!$E$20+1)/MAX(1,'00_통제변수'!$E$21)))</f>
        <v>0.1168125</v>
      </c>
      <c r="G39" s="29">
        <f t="shared" si="9"/>
        <v>94.065625964936189</v>
      </c>
      <c r="H39" s="29">
        <f t="shared" si="5"/>
        <v>104.86781534625405</v>
      </c>
      <c r="I39" s="31">
        <f>'00_통제변수'!$E$22+('00_통제변수'!$E$23-'00_통제변수'!$E$22)*MIN(1,MAX(0,(A39-'00_통제변수'!$E$24+1)/MAX(1,'00_통제변수'!$E$25)))</f>
        <v>1.4575625000000001</v>
      </c>
      <c r="J39" s="29">
        <f t="shared" si="6"/>
        <v>152.85139510562442</v>
      </c>
      <c r="K39" s="32">
        <f>IF(A39&gt;='00_통제변수'!$E$28,'00_통제변수'!$E$27,'00_통제변수'!$E$26)</f>
        <v>31846</v>
      </c>
      <c r="L39" s="33">
        <f t="shared" si="7"/>
        <v>486.7705528533715</v>
      </c>
      <c r="M39" s="33">
        <f>L39/(1-'00_통제변수'!$B$8)*'00_통제변수'!$B$11</f>
        <v>518.94515229570527</v>
      </c>
      <c r="N39" s="33">
        <f>E39*('00_통제변수'!$B$9+('00_통제변수'!$B$10-'00_통제변수'!$B$9)*(A39-1)/MAX(1,'00_통제변수'!$B$6-1))</f>
        <v>1727.8604010074396</v>
      </c>
    </row>
    <row r="40" spans="1:14">
      <c r="A40" s="20">
        <v>37</v>
      </c>
      <c r="B40" s="20">
        <v>2030</v>
      </c>
      <c r="C40" s="20">
        <v>1</v>
      </c>
      <c r="D40" s="21">
        <f>'00_통제변수'!$E$16*(1+'00_통제변수'!$E$17)^(A40-1)</f>
        <v>10.769782813173901</v>
      </c>
      <c r="E40" s="22">
        <f t="shared" si="8"/>
        <v>826.84217842187491</v>
      </c>
      <c r="F40" s="23">
        <f>'00_통제변수'!$E$18+('00_통제변수'!$E$19-'00_통제변수'!$E$18)*MIN(1,MAX(0,(A40-'00_통제변수'!$E$20+1)/MAX(1,'00_통제변수'!$E$21)))</f>
        <v>0.11699999999999999</v>
      </c>
      <c r="G40" s="22">
        <f t="shared" si="9"/>
        <v>95.480470286218008</v>
      </c>
      <c r="H40" s="22">
        <f t="shared" si="5"/>
        <v>106.25025309939191</v>
      </c>
      <c r="I40" s="24">
        <f>'00_통제변수'!$E$22+('00_통제변수'!$E$23-'00_통제변수'!$E$22)*MIN(1,MAX(0,(A40-'00_통제변수'!$E$24+1)/MAX(1,'00_통제변수'!$E$25)))</f>
        <v>1.4630000000000001</v>
      </c>
      <c r="J40" s="22">
        <f t="shared" si="6"/>
        <v>155.44412028441039</v>
      </c>
      <c r="K40" s="25">
        <f>IF(A40&gt;='00_통제변수'!$E$28,'00_통제변수'!$E$27,'00_통제변수'!$E$26)</f>
        <v>31846</v>
      </c>
      <c r="L40" s="26">
        <f t="shared" si="7"/>
        <v>495.0273454577333</v>
      </c>
      <c r="M40" s="26">
        <f>L40/(1-'00_통제변수'!$B$8)*'00_통제변수'!$B$11</f>
        <v>527.747703046624</v>
      </c>
      <c r="N40" s="26">
        <f>E40*('00_통제변수'!$B$9+('00_통제변수'!$B$10-'00_통제변수'!$B$9)*(A40-1)/MAX(1,'00_통제변수'!$B$6-1))</f>
        <v>1739.732000496467</v>
      </c>
    </row>
    <row r="41" spans="1:14">
      <c r="A41" s="20">
        <v>38</v>
      </c>
      <c r="B41" s="20">
        <v>2030</v>
      </c>
      <c r="C41" s="20">
        <v>2</v>
      </c>
      <c r="D41" s="21">
        <f>'00_통제변수'!$E$16*(1+'00_통제변수'!$E$17)^(A41-1)</f>
        <v>10.737473464734379</v>
      </c>
      <c r="E41" s="22">
        <f t="shared" si="8"/>
        <v>837.57965188660933</v>
      </c>
      <c r="F41" s="23">
        <f>'00_통제변수'!$E$18+('00_통제변수'!$E$19-'00_통제변수'!$E$18)*MIN(1,MAX(0,(A41-'00_통제변수'!$E$20+1)/MAX(1,'00_통제변수'!$E$21)))</f>
        <v>0.1171875</v>
      </c>
      <c r="G41" s="22">
        <f t="shared" si="9"/>
        <v>96.895567783813462</v>
      </c>
      <c r="H41" s="22">
        <f t="shared" si="5"/>
        <v>107.63304124854784</v>
      </c>
      <c r="I41" s="24">
        <f>'00_통제변수'!$E$22+('00_통제변수'!$E$23-'00_통제변수'!$E$22)*MIN(1,MAX(0,(A41-'00_통제변수'!$E$24+1)/MAX(1,'00_통제변수'!$E$25)))</f>
        <v>1.4684375000000001</v>
      </c>
      <c r="J41" s="22">
        <f t="shared" si="6"/>
        <v>158.05239400841447</v>
      </c>
      <c r="K41" s="25">
        <f>IF(A41&gt;='00_통제변수'!$E$28,'00_통제변수'!$E$27,'00_통제변수'!$E$26)</f>
        <v>31846</v>
      </c>
      <c r="L41" s="26">
        <f t="shared" si="7"/>
        <v>503.33365395919674</v>
      </c>
      <c r="M41" s="26">
        <f>L41/(1-'00_통제변수'!$B$8)*'00_통제변수'!$B$11</f>
        <v>536.60304260042301</v>
      </c>
      <c r="N41" s="26">
        <f>E41*('00_통제변수'!$B$9+('00_통제변수'!$B$10-'00_통제변수'!$B$9)*(A41-1)/MAX(1,'00_통제변수'!$B$6-1))</f>
        <v>1751.2512857073241</v>
      </c>
    </row>
    <row r="42" spans="1:14">
      <c r="A42" s="20">
        <v>39</v>
      </c>
      <c r="B42" s="20">
        <v>2030</v>
      </c>
      <c r="C42" s="20">
        <v>3</v>
      </c>
      <c r="D42" s="21">
        <f>'00_통제변수'!$E$16*(1+'00_통제변수'!$E$17)^(A42-1)</f>
        <v>10.705261044340176</v>
      </c>
      <c r="E42" s="22">
        <f t="shared" si="8"/>
        <v>848.28491293094953</v>
      </c>
      <c r="F42" s="23">
        <f>'00_통제변수'!$E$18+('00_통제변수'!$E$19-'00_통제변수'!$E$18)*MIN(1,MAX(0,(A42-'00_통제변수'!$E$20+1)/MAX(1,'00_통제변수'!$E$21)))</f>
        <v>0.11737499999999999</v>
      </c>
      <c r="G42" s="22">
        <f t="shared" si="9"/>
        <v>98.310911640190767</v>
      </c>
      <c r="H42" s="22">
        <f t="shared" si="5"/>
        <v>109.01617268453094</v>
      </c>
      <c r="I42" s="24">
        <f>'00_통제변수'!$E$22+('00_통제변수'!$E$23-'00_통제변수'!$E$22)*MIN(1,MAX(0,(A42-'00_통제변수'!$E$24+1)/MAX(1,'00_통제변수'!$E$25)))</f>
        <v>1.473875</v>
      </c>
      <c r="J42" s="22">
        <f t="shared" si="6"/>
        <v>160.67621151541306</v>
      </c>
      <c r="K42" s="25">
        <f>IF(A42&gt;='00_통제변수'!$E$28,'00_통제변수'!$E$27,'00_통제변수'!$E$26)</f>
        <v>31846</v>
      </c>
      <c r="L42" s="26">
        <f t="shared" si="7"/>
        <v>511.68946319198443</v>
      </c>
      <c r="M42" s="26">
        <f>L42/(1-'00_통제변수'!$B$8)*'00_통제변수'!$B$11</f>
        <v>545.51115478889596</v>
      </c>
      <c r="N42" s="26">
        <f>E42*('00_통제변수'!$B$9+('00_통제변수'!$B$10-'00_통제변수'!$B$9)*(A42-1)/MAX(1,'00_통제변수'!$B$6-1))</f>
        <v>1762.4197394419627</v>
      </c>
    </row>
    <row r="43" spans="1:14">
      <c r="A43" s="20">
        <v>40</v>
      </c>
      <c r="B43" s="20">
        <v>2030</v>
      </c>
      <c r="C43" s="20">
        <v>4</v>
      </c>
      <c r="D43" s="21">
        <f>'00_통제변수'!$E$16*(1+'00_통제변수'!$E$17)^(A43-1)</f>
        <v>10.673145261207155</v>
      </c>
      <c r="E43" s="22">
        <f t="shared" si="8"/>
        <v>858.95805819215673</v>
      </c>
      <c r="F43" s="23">
        <f>'00_통제변수'!$E$18+('00_통제변수'!$E$19-'00_통제변수'!$E$18)*MIN(1,MAX(0,(A43-'00_통제변수'!$E$20+1)/MAX(1,'00_통제변수'!$E$21)))</f>
        <v>0.1175625</v>
      </c>
      <c r="G43" s="22">
        <f t="shared" si="9"/>
        <v>99.726495076444749</v>
      </c>
      <c r="H43" s="22">
        <f t="shared" si="5"/>
        <v>110.3996403376519</v>
      </c>
      <c r="I43" s="24">
        <f>'00_통제변수'!$E$22+('00_통제변수'!$E$23-'00_통제변수'!$E$22)*MIN(1,MAX(0,(A43-'00_통제변수'!$E$24+1)/MAX(1,'00_통제변수'!$E$25)))</f>
        <v>1.4793125</v>
      </c>
      <c r="J43" s="22">
        <f t="shared" si="6"/>
        <v>163.31556794699267</v>
      </c>
      <c r="K43" s="25">
        <f>IF(A43&gt;='00_통제변수'!$E$28,'00_통제변수'!$E$27,'00_통제변수'!$E$26)</f>
        <v>31846</v>
      </c>
      <c r="L43" s="26">
        <f t="shared" si="7"/>
        <v>520.09475768399284</v>
      </c>
      <c r="M43" s="26">
        <f>L43/(1-'00_통제변수'!$B$8)*'00_통제변수'!$B$11</f>
        <v>554.47202311726323</v>
      </c>
      <c r="N43" s="26">
        <f>E43*('00_통제변수'!$B$9+('00_통제변수'!$B$10-'00_통제변수'!$B$9)*(A43-1)/MAX(1,'00_통제변수'!$B$6-1))</f>
        <v>1773.2388387763508</v>
      </c>
    </row>
    <row r="44" spans="1:14">
      <c r="A44" s="20">
        <v>41</v>
      </c>
      <c r="B44" s="20">
        <v>2030</v>
      </c>
      <c r="C44" s="20">
        <v>5</v>
      </c>
      <c r="D44" s="21">
        <f>'00_통제변수'!$E$16*(1+'00_통제변수'!$E$17)^(A44-1)</f>
        <v>10.641125825423535</v>
      </c>
      <c r="E44" s="22">
        <f t="shared" si="8"/>
        <v>869.59918401758023</v>
      </c>
      <c r="F44" s="23">
        <f>'00_통제변수'!$E$18+('00_통제변수'!$E$19-'00_통제변수'!$E$18)*MIN(1,MAX(0,(A44-'00_통제변수'!$E$20+1)/MAX(1,'00_통제변수'!$E$21)))</f>
        <v>0.11774999999999999</v>
      </c>
      <c r="G44" s="22">
        <f t="shared" si="9"/>
        <v>101.14231135212646</v>
      </c>
      <c r="H44" s="22">
        <f t="shared" si="5"/>
        <v>111.78343717754998</v>
      </c>
      <c r="I44" s="24">
        <f>'00_통제변수'!$E$22+('00_통제변수'!$E$23-'00_통제변수'!$E$22)*MIN(1,MAX(0,(A44-'00_통제변수'!$E$24+1)/MAX(1,'00_통제변수'!$E$25)))</f>
        <v>1.48475</v>
      </c>
      <c r="J44" s="22">
        <f t="shared" si="6"/>
        <v>165.97045834936733</v>
      </c>
      <c r="K44" s="25">
        <f>IF(A44&gt;='00_통제변수'!$E$28,'00_통제변수'!$E$27,'00_통제변수'!$E$26)</f>
        <v>31846</v>
      </c>
      <c r="L44" s="26">
        <f t="shared" si="7"/>
        <v>528.54952165939517</v>
      </c>
      <c r="M44" s="26">
        <f>L44/(1-'00_통제변수'!$B$8)*'00_통제변수'!$B$11</f>
        <v>563.48563076694586</v>
      </c>
      <c r="N44" s="26">
        <f>E44*('00_통제변수'!$B$9+('00_통제변수'!$B$10-'00_통제변수'!$B$9)*(A44-1)/MAX(1,'00_통제변수'!$B$6-1))</f>
        <v>1783.7100550814839</v>
      </c>
    </row>
    <row r="45" spans="1:14">
      <c r="A45" s="20">
        <v>42</v>
      </c>
      <c r="B45" s="20">
        <v>2030</v>
      </c>
      <c r="C45" s="20">
        <v>6</v>
      </c>
      <c r="D45" s="21">
        <f>'00_통제변수'!$E$16*(1+'00_통제변수'!$E$17)^(A45-1)</f>
        <v>10.609202447947263</v>
      </c>
      <c r="E45" s="22">
        <f t="shared" si="8"/>
        <v>880.2083864655275</v>
      </c>
      <c r="F45" s="23">
        <f>'00_통제변수'!$E$18+('00_통제변수'!$E$19-'00_통제변수'!$E$18)*MIN(1,MAX(0,(A45-'00_통제변수'!$E$20+1)/MAX(1,'00_통제변수'!$E$21)))</f>
        <v>0.1179375</v>
      </c>
      <c r="G45" s="22">
        <f t="shared" si="9"/>
        <v>102.55835376507336</v>
      </c>
      <c r="H45" s="22">
        <f t="shared" si="5"/>
        <v>113.16755621302063</v>
      </c>
      <c r="I45" s="24">
        <f>'00_통제변수'!$E$22+('00_통제변수'!$E$23-'00_통제변수'!$E$22)*MIN(1,MAX(0,(A45-'00_통제변수'!$E$24+1)/MAX(1,'00_통제변수'!$E$25)))</f>
        <v>1.4901875</v>
      </c>
      <c r="J45" s="22">
        <f t="shared" si="6"/>
        <v>168.64087767419068</v>
      </c>
      <c r="K45" s="25">
        <f>IF(A45&gt;='00_통제변수'!$E$28,'00_통제변수'!$E$27,'00_통제변수'!$E$26)</f>
        <v>31846</v>
      </c>
      <c r="L45" s="26">
        <f t="shared" si="7"/>
        <v>537.05373904122769</v>
      </c>
      <c r="M45" s="26">
        <f>L45/(1-'00_통제변수'!$B$8)*'00_통제변수'!$B$11</f>
        <v>572.55196059832383</v>
      </c>
      <c r="N45" s="26">
        <f>E45*('00_통제변수'!$B$9+('00_통제변수'!$B$10-'00_통제변수'!$B$9)*(A45-1)/MAX(1,'00_통제변수'!$B$6-1))</f>
        <v>1793.8348540443228</v>
      </c>
    </row>
    <row r="46" spans="1:14">
      <c r="A46" s="20">
        <v>43</v>
      </c>
      <c r="B46" s="20">
        <v>2030</v>
      </c>
      <c r="C46" s="20">
        <v>7</v>
      </c>
      <c r="D46" s="21">
        <f>'00_통제변수'!$E$16*(1+'00_통제변수'!$E$17)^(A46-1)</f>
        <v>10.577374840603422</v>
      </c>
      <c r="E46" s="22">
        <f t="shared" si="8"/>
        <v>890.78576130613089</v>
      </c>
      <c r="F46" s="23">
        <f>'00_통제변수'!$E$18+('00_통제변수'!$E$19-'00_통제변수'!$E$18)*MIN(1,MAX(0,(A46-'00_통제변수'!$E$20+1)/MAX(1,'00_통제변수'!$E$21)))</f>
        <v>0.11812499999999999</v>
      </c>
      <c r="G46" s="22">
        <f t="shared" si="9"/>
        <v>103.97461565124043</v>
      </c>
      <c r="H46" s="22">
        <f t="shared" si="5"/>
        <v>114.55199049184385</v>
      </c>
      <c r="I46" s="24">
        <f>'00_통제변수'!$E$22+('00_통제변수'!$E$23-'00_통제변수'!$E$22)*MIN(1,MAX(0,(A46-'00_통제변수'!$E$24+1)/MAX(1,'00_통제변수'!$E$25)))</f>
        <v>1.495625</v>
      </c>
      <c r="J46" s="22">
        <f t="shared" si="6"/>
        <v>171.32682077936397</v>
      </c>
      <c r="K46" s="25">
        <f>IF(A46&gt;='00_통제변수'!$E$28,'00_통제변수'!$E$27,'00_통제변수'!$E$26)</f>
        <v>31846</v>
      </c>
      <c r="L46" s="26">
        <f t="shared" si="7"/>
        <v>545.60739345396257</v>
      </c>
      <c r="M46" s="26">
        <f>L46/(1-'00_통제변수'!$B$8)*'00_통제변수'!$B$11</f>
        <v>581.6709951534782</v>
      </c>
      <c r="N46" s="26">
        <f>E46*('00_통제변수'!$B$9+('00_통제변수'!$B$10-'00_통제변수'!$B$9)*(A46-1)/MAX(1,'00_통제변수'!$B$6-1))</f>
        <v>1803.614695688651</v>
      </c>
    </row>
    <row r="47" spans="1:14">
      <c r="A47" s="20">
        <v>44</v>
      </c>
      <c r="B47" s="20">
        <v>2030</v>
      </c>
      <c r="C47" s="20">
        <v>8</v>
      </c>
      <c r="D47" s="21">
        <f>'00_통제변수'!$E$16*(1+'00_통제변수'!$E$17)^(A47-1)</f>
        <v>10.545642716081613</v>
      </c>
      <c r="E47" s="22">
        <f t="shared" si="8"/>
        <v>901.3314040222125</v>
      </c>
      <c r="F47" s="23">
        <f>'00_통제변수'!$E$18+('00_통제변수'!$E$19-'00_통제변수'!$E$18)*MIN(1,MAX(0,(A47-'00_통제변수'!$E$20+1)/MAX(1,'00_통제변수'!$E$21)))</f>
        <v>0.1183125</v>
      </c>
      <c r="G47" s="22">
        <f t="shared" si="9"/>
        <v>105.39109038453161</v>
      </c>
      <c r="H47" s="22">
        <f t="shared" si="5"/>
        <v>115.93673310061322</v>
      </c>
      <c r="I47" s="24">
        <f>'00_통제변수'!$E$22+('00_통제변수'!$E$23-'00_통제변수'!$E$22)*MIN(1,MAX(0,(A47-'00_통제변수'!$E$24+1)/MAX(1,'00_통제변수'!$E$25)))</f>
        <v>1.5010625</v>
      </c>
      <c r="J47" s="22">
        <f t="shared" si="6"/>
        <v>174.02828242983924</v>
      </c>
      <c r="K47" s="25">
        <f>IF(A47&gt;='00_통제변수'!$E$28,'00_통제변수'!$E$27,'00_통제변수'!$E$26)</f>
        <v>31846</v>
      </c>
      <c r="L47" s="26">
        <f t="shared" si="7"/>
        <v>554.21046822606604</v>
      </c>
      <c r="M47" s="26">
        <f>L47/(1-'00_통제변수'!$B$8)*'00_통제변수'!$B$11</f>
        <v>590.84271665891902</v>
      </c>
      <c r="N47" s="26">
        <f>E47*('00_통제변수'!$B$9+('00_통제변수'!$B$10-'00_통제변수'!$B$9)*(A47-1)/MAX(1,'00_통제변수'!$B$6-1))</f>
        <v>1813.0510343958674</v>
      </c>
    </row>
    <row r="48" spans="1:14">
      <c r="A48" s="20">
        <v>45</v>
      </c>
      <c r="B48" s="20">
        <v>2030</v>
      </c>
      <c r="C48" s="20">
        <v>9</v>
      </c>
      <c r="D48" s="21">
        <f>'00_통제변수'!$E$16*(1+'00_통제변수'!$E$17)^(A48-1)</f>
        <v>10.514005787933367</v>
      </c>
      <c r="E48" s="22">
        <f t="shared" si="8"/>
        <v>911.84540981014584</v>
      </c>
      <c r="F48" s="23">
        <f>'00_통제변수'!$E$18+('00_통제변수'!$E$19-'00_통제변수'!$E$18)*MIN(1,MAX(0,(A48-'00_통제변수'!$E$20+1)/MAX(1,'00_통제변수'!$E$21)))</f>
        <v>0.11849999999999999</v>
      </c>
      <c r="G48" s="22">
        <f t="shared" si="9"/>
        <v>106.80777137663218</v>
      </c>
      <c r="H48" s="22">
        <f t="shared" si="5"/>
        <v>117.32177716456555</v>
      </c>
      <c r="I48" s="24">
        <f>'00_통제변수'!$E$22+('00_통제변수'!$E$23-'00_통제변수'!$E$22)*MIN(1,MAX(0,(A48-'00_통제변수'!$E$24+1)/MAX(1,'00_통제변수'!$E$25)))</f>
        <v>1.5065</v>
      </c>
      <c r="J48" s="22">
        <f t="shared" si="6"/>
        <v>176.74525729841798</v>
      </c>
      <c r="K48" s="25">
        <f>IF(A48&gt;='00_통제변수'!$E$28,'00_통제변수'!$E$27,'00_통제변수'!$E$26)</f>
        <v>31846</v>
      </c>
      <c r="L48" s="26">
        <f t="shared" si="7"/>
        <v>562.86294639254197</v>
      </c>
      <c r="M48" s="26">
        <f>L48/(1-'00_통제변수'!$B$8)*'00_통제변수'!$B$11</f>
        <v>600.06710702829639</v>
      </c>
      <c r="N48" s="26">
        <f>E48*('00_통제변수'!$B$9+('00_통제변수'!$B$10-'00_통제변수'!$B$9)*(A48-1)/MAX(1,'00_통제변수'!$B$6-1))</f>
        <v>1822.1453189256981</v>
      </c>
    </row>
    <row r="49" spans="1:14">
      <c r="A49" s="20">
        <v>46</v>
      </c>
      <c r="B49" s="20">
        <v>2030</v>
      </c>
      <c r="C49" s="20">
        <v>10</v>
      </c>
      <c r="D49" s="21">
        <f>'00_통제변수'!$E$16*(1+'00_통제변수'!$E$17)^(A49-1)</f>
        <v>10.482463770569566</v>
      </c>
      <c r="E49" s="22">
        <f t="shared" si="8"/>
        <v>922.32787358071539</v>
      </c>
      <c r="F49" s="23">
        <f>'00_통제변수'!$E$18+('00_통제변수'!$E$19-'00_통제변수'!$E$18)*MIN(1,MAX(0,(A49-'00_통제변수'!$E$20+1)/MAX(1,'00_통제변수'!$E$21)))</f>
        <v>0.1186875</v>
      </c>
      <c r="G49" s="22">
        <f t="shared" si="9"/>
        <v>108.22465207684168</v>
      </c>
      <c r="H49" s="22">
        <f t="shared" si="5"/>
        <v>118.70711584741125</v>
      </c>
      <c r="I49" s="24">
        <f>'00_통제변수'!$E$22+('00_통제변수'!$E$23-'00_통제변수'!$E$22)*MIN(1,MAX(0,(A49-'00_통제변수'!$E$24+1)/MAX(1,'00_통제변수'!$E$25)))</f>
        <v>1.5119374999999999</v>
      </c>
      <c r="J49" s="22">
        <f t="shared" si="6"/>
        <v>179.47773996654533</v>
      </c>
      <c r="K49" s="25">
        <f>IF(A49&gt;='00_통제변수'!$E$28,'00_통제변수'!$E$27,'00_통제변수'!$E$26)</f>
        <v>31846</v>
      </c>
      <c r="L49" s="26">
        <f t="shared" si="7"/>
        <v>571.5648106974603</v>
      </c>
      <c r="M49" s="26">
        <f>L49/(1-'00_통제변수'!$B$8)*'00_통제변수'!$B$11</f>
        <v>609.34414786509626</v>
      </c>
      <c r="N49" s="26">
        <f>E49*('00_통제변수'!$B$9+('00_통제변수'!$B$10-'00_통제변수'!$B$9)*(A49-1)/MAX(1,'00_통제변수'!$B$6-1))</f>
        <v>1830.898992436837</v>
      </c>
    </row>
    <row r="50" spans="1:14">
      <c r="A50" s="20">
        <v>47</v>
      </c>
      <c r="B50" s="20">
        <v>2030</v>
      </c>
      <c r="C50" s="20">
        <v>11</v>
      </c>
      <c r="D50" s="21">
        <f>'00_통제변수'!$E$16*(1+'00_통제변수'!$E$17)^(A50-1)</f>
        <v>10.451016379257858</v>
      </c>
      <c r="E50" s="22">
        <f t="shared" si="8"/>
        <v>932.7788899599733</v>
      </c>
      <c r="F50" s="23">
        <f>'00_통제변수'!$E$18+('00_통제변수'!$E$19-'00_통제변수'!$E$18)*MIN(1,MAX(0,(A50-'00_통제변수'!$E$20+1)/MAX(1,'00_통제변수'!$E$21)))</f>
        <v>0.11887499999999999</v>
      </c>
      <c r="G50" s="22">
        <f t="shared" si="9"/>
        <v>109.64172597190753</v>
      </c>
      <c r="H50" s="22">
        <f t="shared" si="5"/>
        <v>120.09274235116538</v>
      </c>
      <c r="I50" s="24">
        <f>'00_통제변수'!$E$22+('00_통제변수'!$E$23-'00_통제변수'!$E$22)*MIN(1,MAX(0,(A50-'00_통제변수'!$E$24+1)/MAX(1,'00_통제변수'!$E$25)))</f>
        <v>1.5173749999999999</v>
      </c>
      <c r="J50" s="22">
        <f t="shared" si="6"/>
        <v>182.22572492509957</v>
      </c>
      <c r="K50" s="25">
        <f>IF(A50&gt;='00_통제변수'!$E$28,'00_통제변수'!$E$27,'00_통제변수'!$E$26)</f>
        <v>31846</v>
      </c>
      <c r="L50" s="26">
        <f t="shared" si="7"/>
        <v>580.31604359647213</v>
      </c>
      <c r="M50" s="26">
        <f>L50/(1-'00_통제변수'!$B$8)*'00_통제변수'!$B$11</f>
        <v>618.67382046532214</v>
      </c>
      <c r="N50" s="26">
        <f>E50*('00_통제변수'!$B$9+('00_통제변수'!$B$10-'00_통제변수'!$B$9)*(A50-1)/MAX(1,'00_통제변수'!$B$6-1))</f>
        <v>1839.3134925075135</v>
      </c>
    </row>
    <row r="51" spans="1:14">
      <c r="A51" s="27">
        <v>48</v>
      </c>
      <c r="B51" s="27">
        <v>2030</v>
      </c>
      <c r="C51" s="27">
        <v>12</v>
      </c>
      <c r="D51" s="28">
        <f>'00_통제변수'!$E$16*(1+'00_통제변수'!$E$17)^(A51-1)</f>
        <v>10.419663330120084</v>
      </c>
      <c r="E51" s="29">
        <f t="shared" si="8"/>
        <v>943.1985532900934</v>
      </c>
      <c r="F51" s="30">
        <f>'00_통제변수'!$E$18+('00_통제변수'!$E$19-'00_통제변수'!$E$18)*MIN(1,MAX(0,(A51-'00_통제변수'!$E$20+1)/MAX(1,'00_통제변수'!$E$21)))</f>
        <v>0.1190625</v>
      </c>
      <c r="G51" s="29">
        <f t="shared" si="9"/>
        <v>111.05898658585932</v>
      </c>
      <c r="H51" s="29">
        <f t="shared" si="5"/>
        <v>121.4786499159794</v>
      </c>
      <c r="I51" s="31">
        <f>'00_통제변수'!$E$22+('00_통제변수'!$E$23-'00_통제변수'!$E$22)*MIN(1,MAX(0,(A51-'00_통제변수'!$E$24+1)/MAX(1,'00_통제변수'!$E$25)))</f>
        <v>1.5228125000000001</v>
      </c>
      <c r="J51" s="29">
        <f t="shared" si="6"/>
        <v>184.98920657517741</v>
      </c>
      <c r="K51" s="32">
        <f>IF(A51&gt;='00_통제변수'!$E$28,'00_통제변수'!$E$27,'00_통제변수'!$E$26)</f>
        <v>31846</v>
      </c>
      <c r="L51" s="33">
        <f t="shared" si="7"/>
        <v>589.11662725931001</v>
      </c>
      <c r="M51" s="33">
        <f>L51/(1-'00_통제변수'!$B$8)*'00_통제변수'!$B$11</f>
        <v>628.05610582015993</v>
      </c>
      <c r="N51" s="33">
        <f>E51*('00_통제변수'!$B$9+('00_통제변수'!$B$10-'00_통제변수'!$B$9)*(A51-1)/MAX(1,'00_통제변수'!$B$6-1))</f>
        <v>1847.3902511559863</v>
      </c>
    </row>
    <row r="52" spans="1:14">
      <c r="A52" s="20">
        <v>49</v>
      </c>
      <c r="B52" s="20">
        <v>2031</v>
      </c>
      <c r="C52" s="20">
        <v>1</v>
      </c>
      <c r="D52" s="21">
        <f>'00_통제변수'!$E$16*(1+'00_통제변수'!$E$17)^(A52-1)</f>
        <v>10.388404340129725</v>
      </c>
      <c r="E52" s="22">
        <f t="shared" si="8"/>
        <v>953.58695763022308</v>
      </c>
      <c r="F52" s="23">
        <f>'00_통제변수'!$E$18+('00_통제변수'!$E$19-'00_통제변수'!$E$18)*MIN(1,MAX(0,(A52-'00_통제변수'!$E$20+1)/MAX(1,'00_통제변수'!$E$21)))</f>
        <v>0.11924999999999999</v>
      </c>
      <c r="G52" s="22">
        <f t="shared" si="9"/>
        <v>112.47642747984364</v>
      </c>
      <c r="H52" s="22">
        <f t="shared" si="5"/>
        <v>122.86483181997336</v>
      </c>
      <c r="I52" s="24">
        <f>'00_통제변수'!$E$22+('00_통제변수'!$E$23-'00_통제변수'!$E$22)*MIN(1,MAX(0,(A52-'00_통제변수'!$E$24+1)/MAX(1,'00_통제변수'!$E$25)))</f>
        <v>1.5282500000000001</v>
      </c>
      <c r="J52" s="22">
        <f t="shared" si="6"/>
        <v>187.76817922887429</v>
      </c>
      <c r="K52" s="25">
        <f>IF(A52&gt;='00_통제변수'!$E$28,'00_통제변수'!$E$27,'00_통제변수'!$E$26)</f>
        <v>31846</v>
      </c>
      <c r="L52" s="26">
        <f t="shared" si="7"/>
        <v>597.96654357227305</v>
      </c>
      <c r="M52" s="26">
        <f>L52/(1-'00_통제변수'!$B$8)*'00_통제변수'!$B$11</f>
        <v>637.49098461862798</v>
      </c>
      <c r="N52" s="26">
        <f>E52*('00_통제변수'!$B$9+('00_통제변수'!$B$10-'00_통제변수'!$B$9)*(A52-1)/MAX(1,'00_통제변수'!$B$6-1))</f>
        <v>1855.1306948609663</v>
      </c>
    </row>
    <row r="53" spans="1:14">
      <c r="A53" s="20">
        <v>50</v>
      </c>
      <c r="B53" s="20">
        <v>2031</v>
      </c>
      <c r="C53" s="20">
        <v>2</v>
      </c>
      <c r="D53" s="21">
        <f>'00_통제변수'!$E$16*(1+'00_통제변수'!$E$17)^(A53-1)</f>
        <v>10.357239127109336</v>
      </c>
      <c r="E53" s="22">
        <f t="shared" si="8"/>
        <v>963.94419675733241</v>
      </c>
      <c r="F53" s="23">
        <f>'00_통제변수'!$E$18+('00_통제변수'!$E$19-'00_통제변수'!$E$18)*MIN(1,MAX(0,(A53-'00_통제변수'!$E$20+1)/MAX(1,'00_통제변수'!$E$21)))</f>
        <v>0.1194375</v>
      </c>
      <c r="G53" s="22">
        <f t="shared" si="9"/>
        <v>113.89404225195977</v>
      </c>
      <c r="H53" s="22">
        <f t="shared" si="5"/>
        <v>124.25128137906911</v>
      </c>
      <c r="I53" s="24">
        <f>'00_통제변수'!$E$22+('00_통제변수'!$E$23-'00_통제변수'!$E$22)*MIN(1,MAX(0,(A53-'00_통제변수'!$E$24+1)/MAX(1,'00_통제변수'!$E$25)))</f>
        <v>1.5336875000000001</v>
      </c>
      <c r="J53" s="22">
        <f t="shared" si="6"/>
        <v>190.56263711006108</v>
      </c>
      <c r="K53" s="25">
        <f>IF(A53&gt;='00_통제변수'!$E$28,'00_통제변수'!$E$27,'00_통제변수'!$E$26)</f>
        <v>31846</v>
      </c>
      <c r="L53" s="26">
        <f t="shared" si="7"/>
        <v>606.86577414070052</v>
      </c>
      <c r="M53" s="26">
        <f>L53/(1-'00_통제변수'!$B$8)*'00_통제변수'!$B$11</f>
        <v>646.9784372502138</v>
      </c>
      <c r="N53" s="26">
        <f>E53*('00_통제변수'!$B$9+('00_통제변수'!$B$10-'00_통제변수'!$B$9)*(A53-1)/MAX(1,'00_통제변수'!$B$6-1))</f>
        <v>1862.5362445819644</v>
      </c>
    </row>
    <row r="54" spans="1:14">
      <c r="A54" s="20">
        <v>51</v>
      </c>
      <c r="B54" s="20">
        <v>2031</v>
      </c>
      <c r="C54" s="20">
        <v>3</v>
      </c>
      <c r="D54" s="21">
        <f>'00_통제변수'!$E$16*(1+'00_통제변수'!$E$17)^(A54-1)</f>
        <v>10.326167409728008</v>
      </c>
      <c r="E54" s="22">
        <f t="shared" si="8"/>
        <v>974.27036416706039</v>
      </c>
      <c r="F54" s="23">
        <f>'00_통제변수'!$E$18+('00_통제변수'!$E$19-'00_통제변수'!$E$18)*MIN(1,MAX(0,(A54-'00_통제변수'!$E$20+1)/MAX(1,'00_통제변수'!$E$21)))</f>
        <v>0.119625</v>
      </c>
      <c r="G54" s="22">
        <f t="shared" si="9"/>
        <v>115.31182453709589</v>
      </c>
      <c r="H54" s="22">
        <f t="shared" si="5"/>
        <v>125.63799194682389</v>
      </c>
      <c r="I54" s="24">
        <f>'00_통제변수'!$E$22+('00_통제변수'!$E$23-'00_통제변수'!$E$22)*MIN(1,MAX(0,(A54-'00_통제변수'!$E$24+1)/MAX(1,'00_통제변수'!$E$25)))</f>
        <v>1.5391250000000001</v>
      </c>
      <c r="J54" s="22">
        <f t="shared" si="6"/>
        <v>193.37257435515534</v>
      </c>
      <c r="K54" s="25">
        <f>IF(A54&gt;='00_통제변수'!$E$28,'00_통제변수'!$E$27,'00_통제변수'!$E$26)</f>
        <v>31846</v>
      </c>
      <c r="L54" s="26">
        <f t="shared" si="7"/>
        <v>615.81430029142768</v>
      </c>
      <c r="M54" s="26">
        <f>L54/(1-'00_통제변수'!$B$8)*'00_통제변수'!$B$11</f>
        <v>656.51844380749219</v>
      </c>
      <c r="N54" s="26">
        <f>E54*('00_통제변수'!$B$9+('00_통제변수'!$B$10-'00_통제변수'!$B$9)*(A54-1)/MAX(1,'00_통제변수'!$B$6-1))</f>
        <v>1869.6083157795692</v>
      </c>
    </row>
    <row r="55" spans="1:14">
      <c r="A55" s="20">
        <v>52</v>
      </c>
      <c r="B55" s="20">
        <v>2031</v>
      </c>
      <c r="C55" s="20">
        <v>4</v>
      </c>
      <c r="D55" s="21">
        <f>'00_통제변수'!$E$16*(1+'00_통제변수'!$E$17)^(A55-1)</f>
        <v>10.295188907498824</v>
      </c>
      <c r="E55" s="22">
        <f t="shared" si="8"/>
        <v>984.56555307455926</v>
      </c>
      <c r="F55" s="23">
        <f>'00_통제변수'!$E$18+('00_통제변수'!$E$19-'00_통제변수'!$E$18)*MIN(1,MAX(0,(A55-'00_통제변수'!$E$20+1)/MAX(1,'00_통제변수'!$E$21)))</f>
        <v>0.11981249999999999</v>
      </c>
      <c r="G55" s="22">
        <f t="shared" si="9"/>
        <v>116.72976800676591</v>
      </c>
      <c r="H55" s="22">
        <f t="shared" si="5"/>
        <v>127.02495691426473</v>
      </c>
      <c r="I55" s="24">
        <f>'00_통제변수'!$E$22+('00_통제변수'!$E$23-'00_통제변수'!$E$22)*MIN(1,MAX(0,(A55-'00_통제변수'!$E$24+1)/MAX(1,'00_통제변수'!$E$25)))</f>
        <v>1.5445625000000001</v>
      </c>
      <c r="J55" s="22">
        <f t="shared" si="6"/>
        <v>196.19798501388902</v>
      </c>
      <c r="K55" s="25">
        <f>IF(A55&gt;='00_통제변수'!$E$28,'00_통제변수'!$E$27,'00_통제변수'!$E$26)</f>
        <v>31846</v>
      </c>
      <c r="L55" s="26">
        <f t="shared" si="7"/>
        <v>624.81210307523099</v>
      </c>
      <c r="M55" s="26">
        <f>L55/(1-'00_통제변수'!$B$8)*'00_통제변수'!$B$11</f>
        <v>666.11098408873249</v>
      </c>
      <c r="N55" s="26">
        <f>E55*('00_통제변수'!$B$9+('00_통제변수'!$B$10-'00_통제변수'!$B$9)*(A55-1)/MAX(1,'00_통제변수'!$B$6-1))</f>
        <v>1876.3483184356514</v>
      </c>
    </row>
    <row r="56" spans="1:14">
      <c r="A56" s="20">
        <v>53</v>
      </c>
      <c r="B56" s="20">
        <v>2031</v>
      </c>
      <c r="C56" s="20">
        <v>5</v>
      </c>
      <c r="D56" s="21">
        <f>'00_통제변수'!$E$16*(1+'00_통제변수'!$E$17)^(A56-1)</f>
        <v>10.264303340776328</v>
      </c>
      <c r="E56" s="22">
        <f t="shared" si="8"/>
        <v>994.8298564153356</v>
      </c>
      <c r="F56" s="23">
        <f>'00_통제변수'!$E$18+('00_통제변수'!$E$19-'00_통제변수'!$E$18)*MIN(1,MAX(0,(A56-'00_통제변수'!$E$20+1)/MAX(1,'00_통제변수'!$E$21)))</f>
        <v>0.12</v>
      </c>
      <c r="G56" s="22">
        <f t="shared" si="9"/>
        <v>118.14786636894711</v>
      </c>
      <c r="H56" s="22">
        <f t="shared" si="5"/>
        <v>128.41216970972343</v>
      </c>
      <c r="I56" s="24">
        <f>'00_통제변수'!$E$22+('00_통제변수'!$E$23-'00_통제변수'!$E$22)*MIN(1,MAX(0,(A56-'00_통제변수'!$E$24+1)/MAX(1,'00_통제변수'!$E$25)))</f>
        <v>1.55</v>
      </c>
      <c r="J56" s="22">
        <f t="shared" si="6"/>
        <v>199.03886305007131</v>
      </c>
      <c r="K56" s="25">
        <f>IF(A56&gt;='00_통제변수'!$E$28,'00_통제변수'!$E$27,'00_통제변수'!$E$26)</f>
        <v>31846</v>
      </c>
      <c r="L56" s="26">
        <f t="shared" si="7"/>
        <v>633.85916326925712</v>
      </c>
      <c r="M56" s="26">
        <f>L56/(1-'00_통제변수'!$B$8)*'00_통제변수'!$B$11</f>
        <v>675.75603760048739</v>
      </c>
      <c r="N56" s="26">
        <f>E56*('00_통제변수'!$B$9+('00_통제변수'!$B$10-'00_통제변수'!$B$9)*(A56-1)/MAX(1,'00_통제변수'!$B$6-1))</f>
        <v>1882.757657073498</v>
      </c>
    </row>
    <row r="57" spans="1:14">
      <c r="A57" s="20">
        <v>54</v>
      </c>
      <c r="B57" s="20">
        <v>2031</v>
      </c>
      <c r="C57" s="20">
        <v>6</v>
      </c>
      <c r="D57" s="21">
        <f>'00_통제변수'!$E$16*(1+'00_통제변수'!$E$17)^(A57-1)</f>
        <v>10.233510430753999</v>
      </c>
      <c r="E57" s="22">
        <f t="shared" si="8"/>
        <v>1005.0633668460896</v>
      </c>
      <c r="F57" s="23">
        <f>'00_통제변수'!$E$18+('00_통제변수'!$E$19-'00_통제변수'!$E$18)*MIN(1,MAX(0,(A57-'00_통제변수'!$E$20+1)/MAX(1,'00_통제변수'!$E$21)))</f>
        <v>0.12</v>
      </c>
      <c r="G57" s="22">
        <f t="shared" si="9"/>
        <v>119.37958276984027</v>
      </c>
      <c r="H57" s="22">
        <f t="shared" si="5"/>
        <v>129.61309320059428</v>
      </c>
      <c r="I57" s="24">
        <f>'00_통제변수'!$E$22+('00_통제변수'!$E$23-'00_통제변수'!$E$22)*MIN(1,MAX(0,(A57-'00_통제변수'!$E$24+1)/MAX(1,'00_통제변수'!$E$25)))</f>
        <v>1.55</v>
      </c>
      <c r="J57" s="22">
        <f t="shared" si="6"/>
        <v>200.90029446092115</v>
      </c>
      <c r="K57" s="25">
        <f>IF(A57&gt;='00_통제변수'!$E$28,'00_통제변수'!$E$27,'00_통제변수'!$E$26)</f>
        <v>31846</v>
      </c>
      <c r="L57" s="26">
        <f t="shared" si="7"/>
        <v>639.78707774024952</v>
      </c>
      <c r="M57" s="26">
        <f>L57/(1-'00_통제변수'!$B$8)*'00_통제변수'!$B$11</f>
        <v>682.07577584248349</v>
      </c>
      <c r="N57" s="26">
        <f>E57*('00_통제변수'!$B$9+('00_통제변수'!$B$10-'00_통제변수'!$B$9)*(A57-1)/MAX(1,'00_통제변수'!$B$6-1))</f>
        <v>1888.8377307778715</v>
      </c>
    </row>
    <row r="58" spans="1:14">
      <c r="A58" s="20">
        <v>55</v>
      </c>
      <c r="B58" s="20">
        <v>2031</v>
      </c>
      <c r="C58" s="20">
        <v>7</v>
      </c>
      <c r="D58" s="21">
        <f>'00_통제변수'!$E$16*(1+'00_통제변수'!$E$17)^(A58-1)</f>
        <v>10.202809899461737</v>
      </c>
      <c r="E58" s="22">
        <f t="shared" si="8"/>
        <v>1015.2661767455513</v>
      </c>
      <c r="F58" s="23">
        <f>'00_통제변수'!$E$18+('00_통제변수'!$E$19-'00_통제변수'!$E$18)*MIN(1,MAX(0,(A58-'00_통제변수'!$E$20+1)/MAX(1,'00_통제변수'!$E$21)))</f>
        <v>0.12</v>
      </c>
      <c r="G58" s="22">
        <f t="shared" si="9"/>
        <v>120.60760402153075</v>
      </c>
      <c r="H58" s="22">
        <f t="shared" si="5"/>
        <v>130.81041392099249</v>
      </c>
      <c r="I58" s="24">
        <f>'00_통제변수'!$E$22+('00_통제변수'!$E$23-'00_통제변수'!$E$22)*MIN(1,MAX(0,(A58-'00_통제변수'!$E$24+1)/MAX(1,'00_통제변수'!$E$25)))</f>
        <v>1.55</v>
      </c>
      <c r="J58" s="22">
        <f t="shared" si="6"/>
        <v>202.75614157753836</v>
      </c>
      <c r="K58" s="25">
        <f>IF(A58&gt;='00_통제변수'!$E$28,'00_통제변수'!$E$27,'00_통제변수'!$E$26)</f>
        <v>31846</v>
      </c>
      <c r="L58" s="26">
        <f t="shared" si="7"/>
        <v>645.69720846782866</v>
      </c>
      <c r="M58" s="26">
        <f>L58/(1-'00_통제변수'!$B$8)*'00_통제변수'!$B$11</f>
        <v>688.37655486975336</v>
      </c>
      <c r="N58" s="26">
        <f>E58*('00_통제변수'!$B$9+('00_통제변수'!$B$10-'00_통제변수'!$B$9)*(A58-1)/MAX(1,'00_통제변수'!$B$6-1))</f>
        <v>1894.5899332150034</v>
      </c>
    </row>
    <row r="59" spans="1:14">
      <c r="A59" s="20">
        <v>56</v>
      </c>
      <c r="B59" s="20">
        <v>2031</v>
      </c>
      <c r="C59" s="20">
        <v>8</v>
      </c>
      <c r="D59" s="21">
        <f>'00_통제변수'!$E$16*(1+'00_통제변수'!$E$17)^(A59-1)</f>
        <v>10.172201469763353</v>
      </c>
      <c r="E59" s="22">
        <f t="shared" si="8"/>
        <v>1025.4383782153147</v>
      </c>
      <c r="F59" s="23">
        <f>'00_통제변수'!$E$18+('00_통제변수'!$E$19-'00_통제변수'!$E$18)*MIN(1,MAX(0,(A59-'00_통제변수'!$E$20+1)/MAX(1,'00_통제변수'!$E$21)))</f>
        <v>0.12</v>
      </c>
      <c r="G59" s="22">
        <f t="shared" si="9"/>
        <v>121.83194120946615</v>
      </c>
      <c r="H59" s="22">
        <f t="shared" si="5"/>
        <v>132.00414267922952</v>
      </c>
      <c r="I59" s="24">
        <f>'00_통제변수'!$E$22+('00_통제변수'!$E$23-'00_통제변수'!$E$22)*MIN(1,MAX(0,(A59-'00_통제변수'!$E$24+1)/MAX(1,'00_통제변수'!$E$25)))</f>
        <v>1.55</v>
      </c>
      <c r="J59" s="22">
        <f t="shared" si="6"/>
        <v>204.60642115280575</v>
      </c>
      <c r="K59" s="25">
        <f>IF(A59&gt;='00_통제변수'!$E$28,'00_통제변수'!$E$27,'00_통제변수'!$E$26)</f>
        <v>31846</v>
      </c>
      <c r="L59" s="26">
        <f t="shared" si="7"/>
        <v>651.58960880322525</v>
      </c>
      <c r="M59" s="26">
        <f>L59/(1-'00_통제변수'!$B$8)*'00_통제변수'!$B$11</f>
        <v>694.65843155994162</v>
      </c>
      <c r="N59" s="26">
        <f>E59*('00_통제변수'!$B$9+('00_통제변수'!$B$10-'00_통제변수'!$B$9)*(A59-1)/MAX(1,'00_통제변수'!$B$6-1))</f>
        <v>1900.015652652512</v>
      </c>
    </row>
    <row r="60" spans="1:14">
      <c r="A60" s="20">
        <v>57</v>
      </c>
      <c r="B60" s="20">
        <v>2031</v>
      </c>
      <c r="C60" s="20">
        <v>9</v>
      </c>
      <c r="D60" s="21">
        <f>'00_통제변수'!$E$16*(1+'00_통제변수'!$E$17)^(A60-1)</f>
        <v>10.141684865354062</v>
      </c>
      <c r="E60" s="22">
        <f t="shared" si="8"/>
        <v>1035.5800630806689</v>
      </c>
      <c r="F60" s="23">
        <f>'00_통제변수'!$E$18+('00_통제변수'!$E$19-'00_통제변수'!$E$18)*MIN(1,MAX(0,(A60-'00_통제변수'!$E$20+1)/MAX(1,'00_통제변수'!$E$21)))</f>
        <v>0.12</v>
      </c>
      <c r="G60" s="22">
        <f t="shared" si="9"/>
        <v>123.05260538583777</v>
      </c>
      <c r="H60" s="22">
        <f t="shared" si="5"/>
        <v>133.19429025119183</v>
      </c>
      <c r="I60" s="24">
        <f>'00_통제변수'!$E$22+('00_통제변수'!$E$23-'00_통제변수'!$E$22)*MIN(1,MAX(0,(A60-'00_통제변수'!$E$24+1)/MAX(1,'00_통제변수'!$E$25)))</f>
        <v>1.55</v>
      </c>
      <c r="J60" s="22">
        <f t="shared" si="6"/>
        <v>206.45114988934733</v>
      </c>
      <c r="K60" s="25">
        <f>IF(A60&gt;='00_통제변수'!$E$28,'00_통제변수'!$E$27,'00_통제변수'!$E$26)</f>
        <v>31846</v>
      </c>
      <c r="L60" s="26">
        <f t="shared" si="7"/>
        <v>657.4643319376155</v>
      </c>
      <c r="M60" s="26">
        <f>L60/(1-'00_통제변수'!$B$8)*'00_통제변수'!$B$11</f>
        <v>700.92146262005917</v>
      </c>
      <c r="N60" s="26">
        <f>E60*('00_통제변수'!$B$9+('00_통제변수'!$B$10-'00_통제변수'!$B$9)*(A60-1)/MAX(1,'00_통제변수'!$B$6-1))</f>
        <v>1905.116271979251</v>
      </c>
    </row>
    <row r="61" spans="1:14">
      <c r="A61" s="20">
        <v>58</v>
      </c>
      <c r="B61" s="20">
        <v>2031</v>
      </c>
      <c r="C61" s="20">
        <v>10</v>
      </c>
      <c r="D61" s="21">
        <f>'00_통제변수'!$E$16*(1+'00_통제변수'!$E$17)^(A61-1)</f>
        <v>10.111259810757998</v>
      </c>
      <c r="E61" s="22">
        <f t="shared" si="8"/>
        <v>1045.6913228914268</v>
      </c>
      <c r="F61" s="23">
        <f>'00_통제변수'!$E$18+('00_통제변수'!$E$19-'00_통제변수'!$E$18)*MIN(1,MAX(0,(A61-'00_통제변수'!$E$20+1)/MAX(1,'00_통제변수'!$E$21)))</f>
        <v>0.12</v>
      </c>
      <c r="G61" s="22">
        <f t="shared" si="9"/>
        <v>124.26960756968026</v>
      </c>
      <c r="H61" s="22">
        <f t="shared" si="5"/>
        <v>134.38086738043825</v>
      </c>
      <c r="I61" s="24">
        <f>'00_통제변수'!$E$22+('00_통제변수'!$E$23-'00_통제변수'!$E$22)*MIN(1,MAX(0,(A61-'00_통제변수'!$E$24+1)/MAX(1,'00_통제변수'!$E$25)))</f>
        <v>1.55</v>
      </c>
      <c r="J61" s="22">
        <f t="shared" si="6"/>
        <v>208.2903444396793</v>
      </c>
      <c r="K61" s="25">
        <f>IF(A61&gt;='00_통제변수'!$E$28,'00_통제변수'!$E$27,'00_통제변수'!$E$26)</f>
        <v>31846</v>
      </c>
      <c r="L61" s="26">
        <f t="shared" si="7"/>
        <v>663.32143090260274</v>
      </c>
      <c r="M61" s="26">
        <f>L61/(1-'00_통제변수'!$B$8)*'00_통제변수'!$B$11</f>
        <v>707.16570458699653</v>
      </c>
      <c r="N61" s="26">
        <f>E61*('00_통제변수'!$B$9+('00_통제변수'!$B$10-'00_통제변수'!$B$9)*(A61-1)/MAX(1,'00_통제변수'!$B$6-1))</f>
        <v>1909.8931687250874</v>
      </c>
    </row>
    <row r="62" spans="1:14">
      <c r="A62" s="20">
        <v>59</v>
      </c>
      <c r="B62" s="20">
        <v>2031</v>
      </c>
      <c r="C62" s="20">
        <v>11</v>
      </c>
      <c r="D62" s="21">
        <f>'00_통제변수'!$E$16*(1+'00_통제변수'!$E$17)^(A62-1)</f>
        <v>10.080926031325728</v>
      </c>
      <c r="E62" s="22">
        <f t="shared" si="8"/>
        <v>1055.7722489227526</v>
      </c>
      <c r="F62" s="23">
        <f>'00_통제변수'!$E$18+('00_통제변수'!$E$19-'00_통제변수'!$E$18)*MIN(1,MAX(0,(A62-'00_통제변수'!$E$20+1)/MAX(1,'00_통제변수'!$E$21)))</f>
        <v>0.12</v>
      </c>
      <c r="G62" s="22">
        <f t="shared" si="9"/>
        <v>125.48295874697121</v>
      </c>
      <c r="H62" s="22">
        <f t="shared" si="5"/>
        <v>135.56388477829694</v>
      </c>
      <c r="I62" s="24">
        <f>'00_통제변수'!$E$22+('00_통제변수'!$E$23-'00_통제변수'!$E$22)*MIN(1,MAX(0,(A62-'00_통제변수'!$E$24+1)/MAX(1,'00_통제변수'!$E$25)))</f>
        <v>1.55</v>
      </c>
      <c r="J62" s="22">
        <f t="shared" si="6"/>
        <v>210.12402140636027</v>
      </c>
      <c r="K62" s="25">
        <f>IF(A62&gt;='00_통제변수'!$E$28,'00_통제변수'!$E$27,'00_통제변수'!$E$26)</f>
        <v>31846</v>
      </c>
      <c r="L62" s="26">
        <f t="shared" si="7"/>
        <v>669.1609585706949</v>
      </c>
      <c r="M62" s="26">
        <f>L62/(1-'00_통제변수'!$B$8)*'00_통제변수'!$B$11</f>
        <v>713.39121382803296</v>
      </c>
      <c r="N62" s="26">
        <f>E62*('00_통제변수'!$B$9+('00_통제변수'!$B$10-'00_통제변수'!$B$9)*(A62-1)/MAX(1,'00_통제변수'!$B$6-1))</f>
        <v>1914.3477150806114</v>
      </c>
    </row>
    <row r="63" spans="1:14">
      <c r="A63" s="27">
        <v>60</v>
      </c>
      <c r="B63" s="27">
        <v>2031</v>
      </c>
      <c r="C63" s="27">
        <v>12</v>
      </c>
      <c r="D63" s="28">
        <f>'00_통제변수'!$E$16*(1+'00_통제변수'!$E$17)^(A63-1)</f>
        <v>10.05068325323175</v>
      </c>
      <c r="E63" s="29">
        <f t="shared" si="8"/>
        <v>1065.8229321759843</v>
      </c>
      <c r="F63" s="30">
        <f>'00_통제변수'!$E$18+('00_통제변수'!$E$19-'00_통제변수'!$E$18)*MIN(1,MAX(0,(A63-'00_통제변수'!$E$20+1)/MAX(1,'00_통제변수'!$E$21)))</f>
        <v>0.12</v>
      </c>
      <c r="G63" s="29">
        <f t="shared" si="9"/>
        <v>126.69266987073031</v>
      </c>
      <c r="H63" s="29">
        <f t="shared" si="5"/>
        <v>136.74335312396207</v>
      </c>
      <c r="I63" s="31">
        <f>'00_통제변수'!$E$22+('00_통제변수'!$E$23-'00_통제변수'!$E$22)*MIN(1,MAX(0,(A63-'00_통제변수'!$E$24+1)/MAX(1,'00_통제변수'!$E$25)))</f>
        <v>1.55</v>
      </c>
      <c r="J63" s="29">
        <f t="shared" si="6"/>
        <v>211.9521973421412</v>
      </c>
      <c r="K63" s="32">
        <f>IF(A63&gt;='00_통제변수'!$E$28,'00_통제변수'!$E$27,'00_통제변수'!$E$26)</f>
        <v>31846</v>
      </c>
      <c r="L63" s="33">
        <f t="shared" si="7"/>
        <v>674.98296765578289</v>
      </c>
      <c r="M63" s="33">
        <f>L63/(1-'00_통제변수'!$B$8)*'00_통제변수'!$B$11</f>
        <v>719.59804654134643</v>
      </c>
      <c r="N63" s="33">
        <f>E63*('00_통제변수'!$B$9+('00_통제변수'!$B$10-'00_통제변수'!$B$9)*(A63-1)/MAX(1,'00_통제변수'!$B$6-1))</f>
        <v>1918.4812779167719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3"/>
  <sheetViews>
    <sheetView showGridLines="0" zoomScaleNormal="100" workbookViewId="0"/>
  </sheetViews>
  <sheetFormatPr defaultColWidth="8.7109375" defaultRowHeight="15"/>
  <cols>
    <col min="1" max="1" width="6" customWidth="1"/>
    <col min="2" max="2" width="7" customWidth="1"/>
    <col min="3" max="3" width="5" customWidth="1"/>
    <col min="4" max="4" width="12" customWidth="1"/>
    <col min="5" max="5" width="13" customWidth="1"/>
    <col min="6" max="6" width="9" customWidth="1"/>
    <col min="7" max="7" width="11" customWidth="1"/>
    <col min="8" max="8" width="12" customWidth="1"/>
    <col min="9" max="10" width="11" customWidth="1"/>
    <col min="11" max="11" width="10" customWidth="1"/>
    <col min="12" max="18" width="11" customWidth="1"/>
    <col min="19" max="19" width="12" customWidth="1"/>
  </cols>
  <sheetData>
    <row r="1" spans="1:19" ht="16.5">
      <c r="A1" s="1" t="s">
        <v>90</v>
      </c>
    </row>
    <row r="2" spans="1:19">
      <c r="A2" s="2" t="s">
        <v>74</v>
      </c>
    </row>
    <row r="3" spans="1:19" ht="33.75" customHeight="1">
      <c r="A3" s="19" t="s">
        <v>75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54</v>
      </c>
      <c r="G3" s="19" t="s">
        <v>80</v>
      </c>
      <c r="H3" s="19" t="s">
        <v>81</v>
      </c>
      <c r="I3" s="19" t="s">
        <v>82</v>
      </c>
      <c r="J3" s="19" t="s">
        <v>83</v>
      </c>
      <c r="K3" s="19" t="s">
        <v>84</v>
      </c>
      <c r="L3" s="19" t="s">
        <v>85</v>
      </c>
      <c r="M3" s="19" t="s">
        <v>86</v>
      </c>
      <c r="N3" s="19" t="s">
        <v>87</v>
      </c>
      <c r="O3" s="19" t="s">
        <v>91</v>
      </c>
      <c r="P3" s="19" t="s">
        <v>92</v>
      </c>
      <c r="Q3" s="19" t="s">
        <v>93</v>
      </c>
      <c r="R3" s="19" t="s">
        <v>94</v>
      </c>
      <c r="S3" s="19" t="s">
        <v>95</v>
      </c>
    </row>
    <row r="4" spans="1:19">
      <c r="A4" s="20">
        <v>1</v>
      </c>
      <c r="B4" s="20">
        <v>2027</v>
      </c>
      <c r="C4" s="20">
        <v>1</v>
      </c>
      <c r="D4" s="21">
        <f>'00_통제변수'!$F$16*(1+'00_통제변수'!$F$17)^(A4-1)</f>
        <v>12</v>
      </c>
      <c r="E4" s="22">
        <f>'00_통제변수'!$B$7+D4</f>
        <v>418</v>
      </c>
      <c r="F4" s="23">
        <f>'00_통제변수'!$F$18+('00_통제변수'!$F$19-'00_통제변수'!$F$18)*MIN(1,MAX(0,(A4-'00_통제변수'!$F$20+1)/MAX(1,'00_통제변수'!$F$21)))</f>
        <v>0.105</v>
      </c>
      <c r="G4" s="22">
        <f>'00_통제변수'!$B$7*F4</f>
        <v>42.629999999999995</v>
      </c>
      <c r="H4" s="22">
        <f t="shared" ref="H4:H35" si="0">D4+G4</f>
        <v>54.629999999999995</v>
      </c>
      <c r="I4" s="24">
        <f>'00_통제변수'!$F$22+('00_통제변수'!$F$23-'00_통제변수'!$F$22)*MIN(1,MAX(0,(A4-'00_통제변수'!$F$24+1)/MAX(1,'00_통제변수'!$F$25)))</f>
        <v>1.2889999999999999</v>
      </c>
      <c r="J4" s="22">
        <f t="shared" ref="J4:J35" si="1">H4*I4</f>
        <v>70.418069999999986</v>
      </c>
      <c r="K4" s="25">
        <f>IF(A4&gt;='00_통제변수'!$F$28,'00_통제변수'!$F$27,'00_통제변수'!$F$26)</f>
        <v>31846</v>
      </c>
      <c r="L4" s="26">
        <f t="shared" ref="L4:L35" si="2">J4*K4/10000</f>
        <v>224.25338572199996</v>
      </c>
      <c r="M4" s="26">
        <f>(L4+S4)/(1-'00_통제변수'!$B$8)*'00_통제변수'!$B$11</f>
        <v>239.07610418123664</v>
      </c>
      <c r="N4" s="26">
        <f>(E4+P4)*('00_통제변수'!$B$9+('00_통제변수'!$B$10-'00_통제변수'!$B$9)*(A4-1)/MAX(1,'00_통제변수'!$B$6-1))</f>
        <v>1078.44</v>
      </c>
      <c r="O4" s="34">
        <f>IF(A4&gt;='00_통제변수'!$B$32,'00_통제변수'!$B$33/10000,0)</f>
        <v>0</v>
      </c>
      <c r="P4" s="35">
        <f>O4</f>
        <v>0</v>
      </c>
      <c r="Q4" s="35">
        <f>O4</f>
        <v>0</v>
      </c>
      <c r="R4" s="35">
        <f>Q4*'00_통제변수'!$B$36</f>
        <v>0</v>
      </c>
      <c r="S4" s="22">
        <f>R4*'00_통제변수'!$B$35/10000</f>
        <v>0</v>
      </c>
    </row>
    <row r="5" spans="1:19">
      <c r="A5" s="20">
        <v>2</v>
      </c>
      <c r="B5" s="20">
        <v>2027</v>
      </c>
      <c r="C5" s="20">
        <v>2</v>
      </c>
      <c r="D5" s="21">
        <f>'00_통제변수'!$F$16*(1+'00_통제변수'!$F$17)^(A5-1)</f>
        <v>11.94</v>
      </c>
      <c r="E5" s="22">
        <f t="shared" ref="E5:E36" si="3">E4+D5</f>
        <v>429.94</v>
      </c>
      <c r="F5" s="23">
        <f>'00_통제변수'!$F$18+('00_통제변수'!$F$19-'00_통제변수'!$F$18)*MIN(1,MAX(0,(A5-'00_통제변수'!$F$20+1)/MAX(1,'00_통제변수'!$F$21)))</f>
        <v>0.105</v>
      </c>
      <c r="G5" s="22">
        <f t="shared" ref="G5:G36" si="4">E4*F5</f>
        <v>43.89</v>
      </c>
      <c r="H5" s="22">
        <f t="shared" si="0"/>
        <v>55.83</v>
      </c>
      <c r="I5" s="24">
        <f>'00_통제변수'!$F$22+('00_통제변수'!$F$23-'00_통제변수'!$F$22)*MIN(1,MAX(0,(A5-'00_통제변수'!$F$24+1)/MAX(1,'00_통제변수'!$F$25)))</f>
        <v>1.2889999999999999</v>
      </c>
      <c r="J5" s="22">
        <f t="shared" si="1"/>
        <v>71.964869999999991</v>
      </c>
      <c r="K5" s="25">
        <f>IF(A5&gt;='00_통제변수'!$F$28,'00_통제변수'!$F$27,'00_통제변수'!$F$26)</f>
        <v>31846</v>
      </c>
      <c r="L5" s="26">
        <f t="shared" si="2"/>
        <v>229.17932500199996</v>
      </c>
      <c r="M5" s="26">
        <f>(L5+S5)/(1-'00_통제변수'!$B$8)*'00_통제변수'!$B$11</f>
        <v>244.3276385948827</v>
      </c>
      <c r="N5" s="26">
        <f>(E5+P5)*('00_통제변수'!$B$9+('00_통제변수'!$B$10-'00_통제변수'!$B$9)*(A5-1)/MAX(1,'00_통제변수'!$B$6-1))</f>
        <v>1103.5612474576271</v>
      </c>
      <c r="O5" s="34">
        <f>IF(A5&gt;='00_통제변수'!$B$32,'00_통제변수'!$B$33/10000,0)</f>
        <v>0</v>
      </c>
      <c r="P5" s="35">
        <f t="shared" ref="P5:P36" si="5">P4+O5</f>
        <v>0</v>
      </c>
      <c r="Q5" s="35">
        <f>O5+P4*'00_통제변수'!$B$34</f>
        <v>0</v>
      </c>
      <c r="R5" s="35">
        <f>Q5*'00_통제변수'!$B$36</f>
        <v>0</v>
      </c>
      <c r="S5" s="22">
        <f>R5*'00_통제변수'!$B$35/10000</f>
        <v>0</v>
      </c>
    </row>
    <row r="6" spans="1:19">
      <c r="A6" s="20">
        <v>3</v>
      </c>
      <c r="B6" s="20">
        <v>2027</v>
      </c>
      <c r="C6" s="20">
        <v>3</v>
      </c>
      <c r="D6" s="21">
        <f>'00_통제변수'!$F$16*(1+'00_통제변수'!$F$17)^(A6-1)</f>
        <v>11.8803</v>
      </c>
      <c r="E6" s="22">
        <f t="shared" si="3"/>
        <v>441.82029999999997</v>
      </c>
      <c r="F6" s="23">
        <f>'00_통제변수'!$F$18+('00_통제변수'!$F$19-'00_통제변수'!$F$18)*MIN(1,MAX(0,(A6-'00_통제변수'!$F$20+1)/MAX(1,'00_통제변수'!$F$21)))</f>
        <v>0.105</v>
      </c>
      <c r="G6" s="22">
        <f t="shared" si="4"/>
        <v>45.143699999999995</v>
      </c>
      <c r="H6" s="22">
        <f t="shared" si="0"/>
        <v>57.023999999999994</v>
      </c>
      <c r="I6" s="24">
        <f>'00_통제변수'!$F$22+('00_통제변수'!$F$23-'00_통제변수'!$F$22)*MIN(1,MAX(0,(A6-'00_통제변수'!$F$24+1)/MAX(1,'00_통제변수'!$F$25)))</f>
        <v>1.2889999999999999</v>
      </c>
      <c r="J6" s="22">
        <f t="shared" si="1"/>
        <v>73.503935999999982</v>
      </c>
      <c r="K6" s="25">
        <f>IF(A6&gt;='00_통제변수'!$F$28,'00_통제변수'!$F$27,'00_통제변수'!$F$26)</f>
        <v>31846</v>
      </c>
      <c r="L6" s="26">
        <f t="shared" si="2"/>
        <v>234.08063458559994</v>
      </c>
      <c r="M6" s="26">
        <f>(L6+S6)/(1-'00_통제변수'!$B$8)*'00_통제변수'!$B$11</f>
        <v>249.5529153364605</v>
      </c>
      <c r="N6" s="26">
        <f>(E6+P6)*('00_통제변수'!$B$9+('00_통제변수'!$B$10-'00_통제변수'!$B$9)*(A6-1)/MAX(1,'00_통제변수'!$B$6-1))</f>
        <v>1128.2143457288137</v>
      </c>
      <c r="O6" s="34">
        <f>IF(A6&gt;='00_통제변수'!$B$32,'00_통제변수'!$B$33/10000,0)</f>
        <v>0</v>
      </c>
      <c r="P6" s="35">
        <f t="shared" si="5"/>
        <v>0</v>
      </c>
      <c r="Q6" s="35">
        <f>O6+P5*'00_통제변수'!$B$34</f>
        <v>0</v>
      </c>
      <c r="R6" s="35">
        <f>Q6*'00_통제변수'!$B$36</f>
        <v>0</v>
      </c>
      <c r="S6" s="22">
        <f>R6*'00_통제변수'!$B$35/10000</f>
        <v>0</v>
      </c>
    </row>
    <row r="7" spans="1:19">
      <c r="A7" s="20">
        <v>4</v>
      </c>
      <c r="B7" s="20">
        <v>2027</v>
      </c>
      <c r="C7" s="20">
        <v>4</v>
      </c>
      <c r="D7" s="21">
        <f>'00_통제변수'!$F$16*(1+'00_통제변수'!$F$17)^(A7-1)</f>
        <v>11.8208985</v>
      </c>
      <c r="E7" s="22">
        <f t="shared" si="3"/>
        <v>453.64119849999997</v>
      </c>
      <c r="F7" s="23">
        <f>'00_통제변수'!$F$18+('00_통제변수'!$F$19-'00_통제변수'!$F$18)*MIN(1,MAX(0,(A7-'00_통제변수'!$F$20+1)/MAX(1,'00_통제변수'!$F$21)))</f>
        <v>0.105</v>
      </c>
      <c r="G7" s="22">
        <f t="shared" si="4"/>
        <v>46.391131499999993</v>
      </c>
      <c r="H7" s="22">
        <f t="shared" si="0"/>
        <v>58.212029999999992</v>
      </c>
      <c r="I7" s="24">
        <f>'00_통제변수'!$F$22+('00_통제변수'!$F$23-'00_통제변수'!$F$22)*MIN(1,MAX(0,(A7-'00_통제변수'!$F$24+1)/MAX(1,'00_통제변수'!$F$25)))</f>
        <v>1.2889999999999999</v>
      </c>
      <c r="J7" s="22">
        <f t="shared" si="1"/>
        <v>75.035306669999983</v>
      </c>
      <c r="K7" s="25">
        <f>IF(A7&gt;='00_통제변수'!$F$28,'00_통제변수'!$F$27,'00_통제변수'!$F$26)</f>
        <v>31846</v>
      </c>
      <c r="L7" s="26">
        <f t="shared" si="2"/>
        <v>238.95743762128194</v>
      </c>
      <c r="M7" s="26">
        <f>(L7+S7)/(1-'00_통제변수'!$B$8)*'00_통제변수'!$B$11</f>
        <v>254.75206569433044</v>
      </c>
      <c r="N7" s="26">
        <f>(E7+P7)*('00_통제변수'!$B$9+('00_통제변수'!$B$10-'00_통제변수'!$B$9)*(A7-1)/MAX(1,'00_통제변수'!$B$6-1))</f>
        <v>1152.4024208674575</v>
      </c>
      <c r="O7" s="34">
        <f>IF(A7&gt;='00_통제변수'!$B$32,'00_통제변수'!$B$33/10000,0)</f>
        <v>0</v>
      </c>
      <c r="P7" s="35">
        <f t="shared" si="5"/>
        <v>0</v>
      </c>
      <c r="Q7" s="35">
        <f>O7+P6*'00_통제변수'!$B$34</f>
        <v>0</v>
      </c>
      <c r="R7" s="35">
        <f>Q7*'00_통제변수'!$B$36</f>
        <v>0</v>
      </c>
      <c r="S7" s="22">
        <f>R7*'00_통제변수'!$B$35/10000</f>
        <v>0</v>
      </c>
    </row>
    <row r="8" spans="1:19">
      <c r="A8" s="20">
        <v>5</v>
      </c>
      <c r="B8" s="20">
        <v>2027</v>
      </c>
      <c r="C8" s="20">
        <v>5</v>
      </c>
      <c r="D8" s="21">
        <f>'00_통제변수'!$F$16*(1+'00_통제변수'!$F$17)^(A8-1)</f>
        <v>11.761794007500001</v>
      </c>
      <c r="E8" s="22">
        <f t="shared" si="3"/>
        <v>465.40299250749996</v>
      </c>
      <c r="F8" s="23">
        <f>'00_통제변수'!$F$18+('00_통제변수'!$F$19-'00_통제변수'!$F$18)*MIN(1,MAX(0,(A8-'00_통제변수'!$F$20+1)/MAX(1,'00_통제변수'!$F$21)))</f>
        <v>0.105</v>
      </c>
      <c r="G8" s="22">
        <f t="shared" si="4"/>
        <v>47.632325842499995</v>
      </c>
      <c r="H8" s="22">
        <f t="shared" si="0"/>
        <v>59.394119849999996</v>
      </c>
      <c r="I8" s="24">
        <f>'00_통제변수'!$F$22+('00_통제변수'!$F$23-'00_통제변수'!$F$22)*MIN(1,MAX(0,(A8-'00_통제변수'!$F$24+1)/MAX(1,'00_통제변수'!$F$25)))</f>
        <v>1.2889999999999999</v>
      </c>
      <c r="J8" s="22">
        <f t="shared" si="1"/>
        <v>76.559020486649985</v>
      </c>
      <c r="K8" s="25">
        <f>IF(A8&gt;='00_통제변수'!$F$28,'00_통제변수'!$F$27,'00_통제변수'!$F$26)</f>
        <v>31846</v>
      </c>
      <c r="L8" s="26">
        <f t="shared" si="2"/>
        <v>243.80985664178553</v>
      </c>
      <c r="M8" s="26">
        <f>(L8+S8)/(1-'00_통제변수'!$B$8)*'00_통제변수'!$B$11</f>
        <v>259.92522030041101</v>
      </c>
      <c r="N8" s="26">
        <f>(E8+P8)*('00_통제변수'!$B$9+('00_통제변수'!$B$10-'00_통제변수'!$B$9)*(A8-1)/MAX(1,'00_통제변수'!$B$6-1))</f>
        <v>1176.1285793706481</v>
      </c>
      <c r="O8" s="34">
        <f>IF(A8&gt;='00_통제변수'!$B$32,'00_통제변수'!$B$33/10000,0)</f>
        <v>0</v>
      </c>
      <c r="P8" s="35">
        <f t="shared" si="5"/>
        <v>0</v>
      </c>
      <c r="Q8" s="35">
        <f>O8+P7*'00_통제변수'!$B$34</f>
        <v>0</v>
      </c>
      <c r="R8" s="35">
        <f>Q8*'00_통제변수'!$B$36</f>
        <v>0</v>
      </c>
      <c r="S8" s="22">
        <f>R8*'00_통제변수'!$B$35/10000</f>
        <v>0</v>
      </c>
    </row>
    <row r="9" spans="1:19">
      <c r="A9" s="20">
        <v>6</v>
      </c>
      <c r="B9" s="20">
        <v>2027</v>
      </c>
      <c r="C9" s="20">
        <v>6</v>
      </c>
      <c r="D9" s="21">
        <f>'00_통제변수'!$F$16*(1+'00_통제변수'!$F$17)^(A9-1)</f>
        <v>11.702985037462501</v>
      </c>
      <c r="E9" s="22">
        <f t="shared" si="3"/>
        <v>477.10597754496246</v>
      </c>
      <c r="F9" s="23">
        <f>'00_통제변수'!$F$18+('00_통제변수'!$F$19-'00_통제변수'!$F$18)*MIN(1,MAX(0,(A9-'00_통제변수'!$F$20+1)/MAX(1,'00_통제변수'!$F$21)))</f>
        <v>0.105</v>
      </c>
      <c r="G9" s="22">
        <f t="shared" si="4"/>
        <v>48.867314213287493</v>
      </c>
      <c r="H9" s="22">
        <f t="shared" si="0"/>
        <v>60.570299250749997</v>
      </c>
      <c r="I9" s="24">
        <f>'00_통제변수'!$F$22+('00_통제변수'!$F$23-'00_통제변수'!$F$22)*MIN(1,MAX(0,(A9-'00_통제변수'!$F$24+1)/MAX(1,'00_통제변수'!$F$25)))</f>
        <v>1.2889999999999999</v>
      </c>
      <c r="J9" s="22">
        <f t="shared" si="1"/>
        <v>78.075115734216737</v>
      </c>
      <c r="K9" s="25">
        <f>IF(A9&gt;='00_통제변수'!$F$28,'00_통제변수'!$F$27,'00_통제변수'!$F$26)</f>
        <v>31846</v>
      </c>
      <c r="L9" s="26">
        <f t="shared" si="2"/>
        <v>248.63801356718662</v>
      </c>
      <c r="M9" s="26">
        <f>(L9+S9)/(1-'00_통제변수'!$B$8)*'00_통제변수'!$B$11</f>
        <v>265.07250913346121</v>
      </c>
      <c r="N9" s="26">
        <f>(E9+P9)*('00_통제변수'!$B$9+('00_통제변수'!$B$10-'00_통제변수'!$B$9)*(A9-1)/MAX(1,'00_통제변수'!$B$6-1))</f>
        <v>1199.3959082960819</v>
      </c>
      <c r="O9" s="34">
        <f>IF(A9&gt;='00_통제변수'!$B$32,'00_통제변수'!$B$33/10000,0)</f>
        <v>0</v>
      </c>
      <c r="P9" s="35">
        <f t="shared" si="5"/>
        <v>0</v>
      </c>
      <c r="Q9" s="35">
        <f>O9+P8*'00_통제변수'!$B$34</f>
        <v>0</v>
      </c>
      <c r="R9" s="35">
        <f>Q9*'00_통제변수'!$B$36</f>
        <v>0</v>
      </c>
      <c r="S9" s="22">
        <f>R9*'00_통제변수'!$B$35/10000</f>
        <v>0</v>
      </c>
    </row>
    <row r="10" spans="1:19">
      <c r="A10" s="20">
        <v>7</v>
      </c>
      <c r="B10" s="20">
        <v>2027</v>
      </c>
      <c r="C10" s="20">
        <v>7</v>
      </c>
      <c r="D10" s="21">
        <f>'00_통제변수'!$F$16*(1+'00_통제변수'!$F$17)^(A10-1)</f>
        <v>11.644470112275188</v>
      </c>
      <c r="E10" s="22">
        <f t="shared" si="3"/>
        <v>488.75044765723766</v>
      </c>
      <c r="F10" s="23">
        <f>'00_통제변수'!$F$18+('00_통제변수'!$F$19-'00_통제변수'!$F$18)*MIN(1,MAX(0,(A10-'00_통제변수'!$F$20+1)/MAX(1,'00_통제변수'!$F$21)))</f>
        <v>0.105</v>
      </c>
      <c r="G10" s="22">
        <f t="shared" si="4"/>
        <v>50.096127642221056</v>
      </c>
      <c r="H10" s="22">
        <f t="shared" si="0"/>
        <v>61.740597754496243</v>
      </c>
      <c r="I10" s="24">
        <f>'00_통제변수'!$F$22+('00_통제변수'!$F$23-'00_통제변수'!$F$22)*MIN(1,MAX(0,(A10-'00_통제변수'!$F$24+1)/MAX(1,'00_통제변수'!$F$25)))</f>
        <v>1.2889999999999999</v>
      </c>
      <c r="J10" s="22">
        <f t="shared" si="1"/>
        <v>79.583630505545656</v>
      </c>
      <c r="K10" s="25">
        <f>IF(A10&gt;='00_통제변수'!$F$28,'00_통제변수'!$F$27,'00_통제변수'!$F$26)</f>
        <v>31846</v>
      </c>
      <c r="L10" s="26">
        <f t="shared" si="2"/>
        <v>253.4420297079607</v>
      </c>
      <c r="M10" s="26">
        <f>(L10+S10)/(1-'00_통제변수'!$B$8)*'00_통제변수'!$B$11</f>
        <v>270.1940615223462</v>
      </c>
      <c r="N10" s="26">
        <f>(E10+P10)*('00_통제변수'!$B$9+('00_통제변수'!$B$10-'00_통제변수'!$B$9)*(A10-1)/MAX(1,'00_통제변수'!$B$6-1))</f>
        <v>1222.207475378794</v>
      </c>
      <c r="O10" s="34">
        <f>IF(A10&gt;='00_통제변수'!$B$32,'00_통제변수'!$B$33/10000,0)</f>
        <v>0</v>
      </c>
      <c r="P10" s="35">
        <f t="shared" si="5"/>
        <v>0</v>
      </c>
      <c r="Q10" s="35">
        <f>O10+P9*'00_통제변수'!$B$34</f>
        <v>0</v>
      </c>
      <c r="R10" s="35">
        <f>Q10*'00_통제변수'!$B$36</f>
        <v>0</v>
      </c>
      <c r="S10" s="22">
        <f>R10*'00_통제변수'!$B$35/10000</f>
        <v>0</v>
      </c>
    </row>
    <row r="11" spans="1:19">
      <c r="A11" s="20">
        <v>8</v>
      </c>
      <c r="B11" s="20">
        <v>2027</v>
      </c>
      <c r="C11" s="20">
        <v>8</v>
      </c>
      <c r="D11" s="21">
        <f>'00_통제변수'!$F$16*(1+'00_통제변수'!$F$17)^(A11-1)</f>
        <v>11.586247761713812</v>
      </c>
      <c r="E11" s="22">
        <f t="shared" si="3"/>
        <v>500.33669541895148</v>
      </c>
      <c r="F11" s="23">
        <f>'00_통제변수'!$F$18+('00_통제변수'!$F$19-'00_통제변수'!$F$18)*MIN(1,MAX(0,(A11-'00_통제변수'!$F$20+1)/MAX(1,'00_통제변수'!$F$21)))</f>
        <v>0.105</v>
      </c>
      <c r="G11" s="22">
        <f t="shared" si="4"/>
        <v>51.318797004009951</v>
      </c>
      <c r="H11" s="22">
        <f t="shared" si="0"/>
        <v>62.905044765723765</v>
      </c>
      <c r="I11" s="24">
        <f>'00_통제변수'!$F$22+('00_통제변수'!$F$23-'00_통제변수'!$F$22)*MIN(1,MAX(0,(A11-'00_통제변수'!$F$24+1)/MAX(1,'00_통제변수'!$F$25)))</f>
        <v>1.2889999999999999</v>
      </c>
      <c r="J11" s="22">
        <f t="shared" si="1"/>
        <v>81.084602703017936</v>
      </c>
      <c r="K11" s="25">
        <f>IF(A11&gt;='00_통제변수'!$F$28,'00_통제변수'!$F$27,'00_통제변수'!$F$26)</f>
        <v>31846</v>
      </c>
      <c r="L11" s="26">
        <f t="shared" si="2"/>
        <v>258.2220257680309</v>
      </c>
      <c r="M11" s="26">
        <f>(L11+S11)/(1-'00_통제변수'!$B$8)*'00_통제변수'!$B$11</f>
        <v>275.29000614928668</v>
      </c>
      <c r="N11" s="26">
        <f>(E11+P11)*('00_통제변수'!$B$9+('00_통제변수'!$B$10-'00_통제변수'!$B$9)*(A11-1)/MAX(1,'00_통제변수'!$B$6-1))</f>
        <v>1244.5663291472088</v>
      </c>
      <c r="O11" s="34">
        <f>IF(A11&gt;='00_통제변수'!$B$32,'00_통제변수'!$B$33/10000,0)</f>
        <v>0</v>
      </c>
      <c r="P11" s="35">
        <f t="shared" si="5"/>
        <v>0</v>
      </c>
      <c r="Q11" s="35">
        <f>O11+P10*'00_통제변수'!$B$34</f>
        <v>0</v>
      </c>
      <c r="R11" s="35">
        <f>Q11*'00_통제변수'!$B$36</f>
        <v>0</v>
      </c>
      <c r="S11" s="22">
        <f>R11*'00_통제변수'!$B$35/10000</f>
        <v>0</v>
      </c>
    </row>
    <row r="12" spans="1:19">
      <c r="A12" s="20">
        <v>9</v>
      </c>
      <c r="B12" s="20">
        <v>2027</v>
      </c>
      <c r="C12" s="20">
        <v>9</v>
      </c>
      <c r="D12" s="21">
        <f>'00_통제변수'!$F$16*(1+'00_통제변수'!$F$17)^(A12-1)</f>
        <v>11.528316522905243</v>
      </c>
      <c r="E12" s="22">
        <f t="shared" si="3"/>
        <v>511.86501194185672</v>
      </c>
      <c r="F12" s="23">
        <f>'00_통제변수'!$F$18+('00_통제변수'!$F$19-'00_통제변수'!$F$18)*MIN(1,MAX(0,(A12-'00_통제변수'!$F$20+1)/MAX(1,'00_통제변수'!$F$21)))</f>
        <v>0.105</v>
      </c>
      <c r="G12" s="22">
        <f t="shared" si="4"/>
        <v>52.535353018989902</v>
      </c>
      <c r="H12" s="22">
        <f t="shared" si="0"/>
        <v>64.063669541895138</v>
      </c>
      <c r="I12" s="24">
        <f>'00_통제변수'!$F$22+('00_통제변수'!$F$23-'00_통제변수'!$F$22)*MIN(1,MAX(0,(A12-'00_통제변수'!$F$24+1)/MAX(1,'00_통제변수'!$F$25)))</f>
        <v>1.2889999999999999</v>
      </c>
      <c r="J12" s="22">
        <f t="shared" si="1"/>
        <v>82.578070039502833</v>
      </c>
      <c r="K12" s="25">
        <f>IF(A12&gt;='00_통제변수'!$F$28,'00_통제변수'!$F$27,'00_통제변수'!$F$26)</f>
        <v>31846</v>
      </c>
      <c r="L12" s="26">
        <f t="shared" si="2"/>
        <v>262.97812184780071</v>
      </c>
      <c r="M12" s="26">
        <f>(L12+S12)/(1-'00_통제변수'!$B$8)*'00_통제변수'!$B$11</f>
        <v>287.07688896354023</v>
      </c>
      <c r="N12" s="26">
        <f>(E12+P12)*('00_통제변수'!$B$9+('00_통제변수'!$B$10-'00_통제변수'!$B$9)*(A12-1)/MAX(1,'00_통제변수'!$B$6-1))</f>
        <v>1268.949736326648</v>
      </c>
      <c r="O12" s="34">
        <f>IF(A12&gt;='00_통제변수'!$B$32,'00_통제변수'!$B$33/10000,0)</f>
        <v>1</v>
      </c>
      <c r="P12" s="35">
        <f t="shared" si="5"/>
        <v>1</v>
      </c>
      <c r="Q12" s="35">
        <f>O12+P11*'00_통제변수'!$B$34</f>
        <v>1</v>
      </c>
      <c r="R12" s="35">
        <f>Q12*'00_통제변수'!$B$36</f>
        <v>1.05</v>
      </c>
      <c r="S12" s="22">
        <f>R12*'00_통제변수'!$B$35/10000</f>
        <v>6.3</v>
      </c>
    </row>
    <row r="13" spans="1:19">
      <c r="A13" s="20">
        <v>10</v>
      </c>
      <c r="B13" s="20">
        <v>2027</v>
      </c>
      <c r="C13" s="20">
        <v>10</v>
      </c>
      <c r="D13" s="21">
        <f>'00_통제변수'!$F$16*(1+'00_통제변수'!$F$17)^(A13-1)</f>
        <v>11.470674940290717</v>
      </c>
      <c r="E13" s="22">
        <f t="shared" si="3"/>
        <v>523.33568688214746</v>
      </c>
      <c r="F13" s="23">
        <f>'00_통제변수'!$F$18+('00_통제변수'!$F$19-'00_통제변수'!$F$18)*MIN(1,MAX(0,(A13-'00_통제변수'!$F$20+1)/MAX(1,'00_통제변수'!$F$21)))</f>
        <v>0.105</v>
      </c>
      <c r="G13" s="22">
        <f t="shared" si="4"/>
        <v>53.745826253894954</v>
      </c>
      <c r="H13" s="22">
        <f t="shared" si="0"/>
        <v>65.216501194185668</v>
      </c>
      <c r="I13" s="24">
        <f>'00_통제변수'!$F$22+('00_통제변수'!$F$23-'00_통제변수'!$F$22)*MIN(1,MAX(0,(A13-'00_통제변수'!$F$24+1)/MAX(1,'00_통제변수'!$F$25)))</f>
        <v>1.2889999999999999</v>
      </c>
      <c r="J13" s="22">
        <f t="shared" si="1"/>
        <v>84.064070039305321</v>
      </c>
      <c r="K13" s="25">
        <f>IF(A13&gt;='00_통제변수'!$F$28,'00_통제변수'!$F$27,'00_통제변수'!$F$26)</f>
        <v>31846</v>
      </c>
      <c r="L13" s="26">
        <f t="shared" si="2"/>
        <v>267.71043744717173</v>
      </c>
      <c r="M13" s="26">
        <f>(L13+S13)/(1-'00_통제변수'!$B$8)*'00_통제변수'!$B$11</f>
        <v>292.32349408014045</v>
      </c>
      <c r="N13" s="26">
        <f>(E13+P13)*('00_통제변수'!$B$9+('00_통제변수'!$B$10-'00_통제변수'!$B$9)*(A13-1)/MAX(1,'00_통제변수'!$B$6-1))</f>
        <v>1292.8600294116577</v>
      </c>
      <c r="O13" s="34">
        <f>IF(A13&gt;='00_통제변수'!$B$32,'00_통제변수'!$B$33/10000,0)</f>
        <v>1</v>
      </c>
      <c r="P13" s="35">
        <f t="shared" si="5"/>
        <v>2</v>
      </c>
      <c r="Q13" s="35">
        <f>O13+P12*'00_통제변수'!$B$34</f>
        <v>1.03</v>
      </c>
      <c r="R13" s="35">
        <f>Q13*'00_통제변수'!$B$36</f>
        <v>1.0815000000000001</v>
      </c>
      <c r="S13" s="22">
        <f>R13*'00_통제변수'!$B$35/10000</f>
        <v>6.4890000000000008</v>
      </c>
    </row>
    <row r="14" spans="1:19">
      <c r="A14" s="20">
        <v>11</v>
      </c>
      <c r="B14" s="20">
        <v>2027</v>
      </c>
      <c r="C14" s="20">
        <v>11</v>
      </c>
      <c r="D14" s="21">
        <f>'00_통제변수'!$F$16*(1+'00_통제변수'!$F$17)^(A14-1)</f>
        <v>11.413321565589264</v>
      </c>
      <c r="E14" s="22">
        <f t="shared" si="3"/>
        <v>534.74900844773674</v>
      </c>
      <c r="F14" s="23">
        <f>'00_통제변수'!$F$18+('00_통제변수'!$F$19-'00_통제변수'!$F$18)*MIN(1,MAX(0,(A14-'00_통제변수'!$F$20+1)/MAX(1,'00_통제변수'!$F$21)))</f>
        <v>0.105</v>
      </c>
      <c r="G14" s="22">
        <f t="shared" si="4"/>
        <v>54.950247122625484</v>
      </c>
      <c r="H14" s="22">
        <f t="shared" si="0"/>
        <v>66.363568688214741</v>
      </c>
      <c r="I14" s="24">
        <f>'00_통제변수'!$F$22+('00_통제변수'!$F$23-'00_통제변수'!$F$22)*MIN(1,MAX(0,(A14-'00_통제변수'!$F$24+1)/MAX(1,'00_통제변수'!$F$25)))</f>
        <v>1.2889999999999999</v>
      </c>
      <c r="J14" s="22">
        <f t="shared" si="1"/>
        <v>85.54264003910879</v>
      </c>
      <c r="K14" s="25">
        <f>IF(A14&gt;='00_통제변수'!$F$28,'00_통제변수'!$F$27,'00_통제변수'!$F$26)</f>
        <v>31846</v>
      </c>
      <c r="L14" s="26">
        <f t="shared" si="2"/>
        <v>272.41909146854584</v>
      </c>
      <c r="M14" s="26">
        <f>(L14+S14)/(1-'00_통제변수'!$B$8)*'00_통제변수'!$B$11</f>
        <v>297.54487363384419</v>
      </c>
      <c r="N14" s="26">
        <f>(E14+P14)*('00_통제변수'!$B$9+('00_통제변수'!$B$10-'00_통제변수'!$B$9)*(A14-1)/MAX(1,'00_통제변수'!$B$6-1))</f>
        <v>1316.3002000003753</v>
      </c>
      <c r="O14" s="34">
        <f>IF(A14&gt;='00_통제변수'!$B$32,'00_통제변수'!$B$33/10000,0)</f>
        <v>1</v>
      </c>
      <c r="P14" s="35">
        <f t="shared" si="5"/>
        <v>3</v>
      </c>
      <c r="Q14" s="35">
        <f>O14+P13*'00_통제변수'!$B$34</f>
        <v>1.06</v>
      </c>
      <c r="R14" s="35">
        <f>Q14*'00_통제변수'!$B$36</f>
        <v>1.1130000000000002</v>
      </c>
      <c r="S14" s="22">
        <f>R14*'00_통제변수'!$B$35/10000</f>
        <v>6.6780000000000017</v>
      </c>
    </row>
    <row r="15" spans="1:19">
      <c r="A15" s="27">
        <v>12</v>
      </c>
      <c r="B15" s="27">
        <v>2027</v>
      </c>
      <c r="C15" s="27">
        <v>12</v>
      </c>
      <c r="D15" s="28">
        <f>'00_통제변수'!$F$16*(1+'00_통제변수'!$F$17)^(A15-1)</f>
        <v>11.356254957761317</v>
      </c>
      <c r="E15" s="29">
        <f t="shared" si="3"/>
        <v>546.10526340549802</v>
      </c>
      <c r="F15" s="30">
        <f>'00_통제변수'!$F$18+('00_통제변수'!$F$19-'00_통제변수'!$F$18)*MIN(1,MAX(0,(A15-'00_통제변수'!$F$20+1)/MAX(1,'00_통제변수'!$F$21)))</f>
        <v>0.105</v>
      </c>
      <c r="G15" s="29">
        <f t="shared" si="4"/>
        <v>56.148645887012357</v>
      </c>
      <c r="H15" s="29">
        <f t="shared" si="0"/>
        <v>67.504900844773672</v>
      </c>
      <c r="I15" s="31">
        <f>'00_통제변수'!$F$22+('00_통제변수'!$F$23-'00_통제변수'!$F$22)*MIN(1,MAX(0,(A15-'00_통제변수'!$F$24+1)/MAX(1,'00_통제변수'!$F$25)))</f>
        <v>1.2889999999999999</v>
      </c>
      <c r="J15" s="29">
        <f t="shared" si="1"/>
        <v>87.013817188913265</v>
      </c>
      <c r="K15" s="32">
        <f>IF(A15&gt;='00_통제변수'!$F$28,'00_통제변수'!$F$27,'00_통제변수'!$F$26)</f>
        <v>31846</v>
      </c>
      <c r="L15" s="33">
        <f t="shared" si="2"/>
        <v>277.1042022198132</v>
      </c>
      <c r="M15" s="33">
        <f>(L15+S15)/(1-'00_통제변수'!$B$8)*'00_통제변수'!$B$11</f>
        <v>302.74115375246612</v>
      </c>
      <c r="N15" s="33">
        <f>(E15+P15)*('00_통제변수'!$B$9+('00_통제변수'!$B$10-'00_통제변수'!$B$9)*(A15-1)/MAX(1,'00_통제변수'!$B$6-1))</f>
        <v>1339.2732209417923</v>
      </c>
      <c r="O15" s="36">
        <f>IF(A15&gt;='00_통제변수'!$B$32,'00_통제변수'!$B$33/10000,0)</f>
        <v>1</v>
      </c>
      <c r="P15" s="37">
        <f t="shared" si="5"/>
        <v>4</v>
      </c>
      <c r="Q15" s="37">
        <f>O15+P14*'00_통제변수'!$B$34</f>
        <v>1.0900000000000001</v>
      </c>
      <c r="R15" s="37">
        <f>Q15*'00_통제변수'!$B$36</f>
        <v>1.1445000000000001</v>
      </c>
      <c r="S15" s="29">
        <f>R15*'00_통제변수'!$B$35/10000</f>
        <v>6.867</v>
      </c>
    </row>
    <row r="16" spans="1:19">
      <c r="A16" s="20">
        <v>13</v>
      </c>
      <c r="B16" s="20">
        <v>2028</v>
      </c>
      <c r="C16" s="20">
        <v>1</v>
      </c>
      <c r="D16" s="21">
        <f>'00_통제변수'!$F$16*(1+'00_통제변수'!$F$17)^(A16-1)</f>
        <v>11.299473682972511</v>
      </c>
      <c r="E16" s="22">
        <f t="shared" si="3"/>
        <v>557.40473708847048</v>
      </c>
      <c r="F16" s="23">
        <f>'00_통제변수'!$F$18+('00_통제변수'!$F$19-'00_통제변수'!$F$18)*MIN(1,MAX(0,(A16-'00_통제변수'!$F$20+1)/MAX(1,'00_통제변수'!$F$21)))</f>
        <v>0.105</v>
      </c>
      <c r="G16" s="22">
        <f t="shared" si="4"/>
        <v>57.341052657577293</v>
      </c>
      <c r="H16" s="22">
        <f t="shared" si="0"/>
        <v>68.640526340549798</v>
      </c>
      <c r="I16" s="24">
        <f>'00_통제변수'!$F$22+('00_통제변수'!$F$23-'00_통제변수'!$F$22)*MIN(1,MAX(0,(A16-'00_통제변수'!$F$24+1)/MAX(1,'00_통제변수'!$F$25)))</f>
        <v>1.2889999999999999</v>
      </c>
      <c r="J16" s="22">
        <f t="shared" si="1"/>
        <v>88.477638452968691</v>
      </c>
      <c r="K16" s="25">
        <f>IF(A16&gt;='00_통제변수'!$F$28,'00_통제변수'!$F$27,'00_통제변수'!$F$26)</f>
        <v>31846</v>
      </c>
      <c r="L16" s="26">
        <f t="shared" si="2"/>
        <v>281.76588741732405</v>
      </c>
      <c r="M16" s="26">
        <f>(L16+S16)/(1-'00_통제변수'!$B$8)*'00_통제변수'!$B$11</f>
        <v>307.91245993318131</v>
      </c>
      <c r="N16" s="26">
        <f>(E16+P16)*('00_통제변수'!$B$9+('00_통제변수'!$B$10-'00_통제변수'!$B$9)*(A16-1)/MAX(1,'00_통제변수'!$B$6-1))</f>
        <v>1361.7820464484557</v>
      </c>
      <c r="O16" s="34">
        <f>IF(A16&gt;='00_통제변수'!$B$32,'00_통제변수'!$B$33/10000,0)</f>
        <v>1</v>
      </c>
      <c r="P16" s="35">
        <f t="shared" si="5"/>
        <v>5</v>
      </c>
      <c r="Q16" s="35">
        <f>O16+P15*'00_통제변수'!$B$34</f>
        <v>1.1200000000000001</v>
      </c>
      <c r="R16" s="35">
        <f>Q16*'00_통제변수'!$B$36</f>
        <v>1.1760000000000002</v>
      </c>
      <c r="S16" s="22">
        <f>R16*'00_통제변수'!$B$35/10000</f>
        <v>7.0560000000000018</v>
      </c>
    </row>
    <row r="17" spans="1:19">
      <c r="A17" s="20">
        <v>14</v>
      </c>
      <c r="B17" s="20">
        <v>2028</v>
      </c>
      <c r="C17" s="20">
        <v>2</v>
      </c>
      <c r="D17" s="21">
        <f>'00_통제변수'!$F$16*(1+'00_통제변수'!$F$17)^(A17-1)</f>
        <v>11.24297631455765</v>
      </c>
      <c r="E17" s="22">
        <f t="shared" si="3"/>
        <v>568.64771340302809</v>
      </c>
      <c r="F17" s="23">
        <f>'00_통제변수'!$F$18+('00_통제변수'!$F$19-'00_통제변수'!$F$18)*MIN(1,MAX(0,(A17-'00_통제변수'!$F$20+1)/MAX(1,'00_통제변수'!$F$21)))</f>
        <v>0.105</v>
      </c>
      <c r="G17" s="22">
        <f t="shared" si="4"/>
        <v>58.527497394289398</v>
      </c>
      <c r="H17" s="22">
        <f t="shared" si="0"/>
        <v>69.770473708847049</v>
      </c>
      <c r="I17" s="24">
        <f>'00_통제변수'!$F$22+('00_통제변수'!$F$23-'00_통제변수'!$F$22)*MIN(1,MAX(0,(A17-'00_통제변수'!$F$24+1)/MAX(1,'00_통제변수'!$F$25)))</f>
        <v>1.2889999999999999</v>
      </c>
      <c r="J17" s="22">
        <f t="shared" si="1"/>
        <v>89.934140610703835</v>
      </c>
      <c r="K17" s="25">
        <f>IF(A17&gt;='00_통제변수'!$F$28,'00_통제변수'!$F$27,'00_통제변수'!$F$26)</f>
        <v>31846</v>
      </c>
      <c r="L17" s="26">
        <f t="shared" si="2"/>
        <v>286.40426418884743</v>
      </c>
      <c r="M17" s="26">
        <f>(L17+S17)/(1-'00_통제변수'!$B$8)*'00_통제변수'!$B$11</f>
        <v>313.05891704567961</v>
      </c>
      <c r="N17" s="26">
        <f>(E17+P17)*('00_통제변수'!$B$9+('00_통제변수'!$B$10-'00_통제변수'!$B$9)*(A17-1)/MAX(1,'00_통제변수'!$B$6-1))</f>
        <v>1383.8296122085126</v>
      </c>
      <c r="O17" s="34">
        <f>IF(A17&gt;='00_통제변수'!$B$32,'00_통제변수'!$B$33/10000,0)</f>
        <v>1</v>
      </c>
      <c r="P17" s="35">
        <f t="shared" si="5"/>
        <v>6</v>
      </c>
      <c r="Q17" s="35">
        <f>O17+P16*'00_통제변수'!$B$34</f>
        <v>1.1499999999999999</v>
      </c>
      <c r="R17" s="35">
        <f>Q17*'00_통제변수'!$B$36</f>
        <v>1.2075</v>
      </c>
      <c r="S17" s="22">
        <f>R17*'00_통제변수'!$B$35/10000</f>
        <v>7.2450000000000001</v>
      </c>
    </row>
    <row r="18" spans="1:19">
      <c r="A18" s="20">
        <v>15</v>
      </c>
      <c r="B18" s="20">
        <v>2028</v>
      </c>
      <c r="C18" s="20">
        <v>3</v>
      </c>
      <c r="D18" s="21">
        <f>'00_통제변수'!$F$16*(1+'00_통제변수'!$F$17)^(A18-1)</f>
        <v>11.186761432984861</v>
      </c>
      <c r="E18" s="22">
        <f t="shared" si="3"/>
        <v>579.83447483601299</v>
      </c>
      <c r="F18" s="23">
        <f>'00_통제변수'!$F$18+('00_통제변수'!$F$19-'00_통제변수'!$F$18)*MIN(1,MAX(0,(A18-'00_통제변수'!$F$20+1)/MAX(1,'00_통제변수'!$F$21)))</f>
        <v>0.105</v>
      </c>
      <c r="G18" s="22">
        <f t="shared" si="4"/>
        <v>59.708009907317944</v>
      </c>
      <c r="H18" s="22">
        <f t="shared" si="0"/>
        <v>70.89477134030281</v>
      </c>
      <c r="I18" s="24">
        <f>'00_통제변수'!$F$22+('00_통제변수'!$F$23-'00_통제변수'!$F$22)*MIN(1,MAX(0,(A18-'00_통제변수'!$F$24+1)/MAX(1,'00_통제변수'!$F$25)))</f>
        <v>1.2889999999999999</v>
      </c>
      <c r="J18" s="22">
        <f t="shared" si="1"/>
        <v>91.383360257650324</v>
      </c>
      <c r="K18" s="25">
        <f>IF(A18&gt;='00_통제변수'!$F$28,'00_통제변수'!$F$27,'00_통제변수'!$F$26)</f>
        <v>31846</v>
      </c>
      <c r="L18" s="26">
        <f t="shared" si="2"/>
        <v>291.01944907651318</v>
      </c>
      <c r="M18" s="26">
        <f>(L18+S18)/(1-'00_통제변수'!$B$8)*'00_통제변수'!$B$11</f>
        <v>318.18064933530195</v>
      </c>
      <c r="N18" s="26">
        <f>(E18+P18)*('00_통제변수'!$B$9+('00_통제변수'!$B$10-'00_통제변수'!$B$9)*(A18-1)/MAX(1,'00_통제변수'!$B$6-1))</f>
        <v>1405.4188354970956</v>
      </c>
      <c r="O18" s="34">
        <f>IF(A18&gt;='00_통제변수'!$B$32,'00_통제변수'!$B$33/10000,0)</f>
        <v>1</v>
      </c>
      <c r="P18" s="35">
        <f t="shared" si="5"/>
        <v>7</v>
      </c>
      <c r="Q18" s="35">
        <f>O18+P17*'00_통제변수'!$B$34</f>
        <v>1.18</v>
      </c>
      <c r="R18" s="35">
        <f>Q18*'00_통제변수'!$B$36</f>
        <v>1.2389999999999999</v>
      </c>
      <c r="S18" s="22">
        <f>R18*'00_통제변수'!$B$35/10000</f>
        <v>7.4340000000000002</v>
      </c>
    </row>
    <row r="19" spans="1:19">
      <c r="A19" s="20">
        <v>16</v>
      </c>
      <c r="B19" s="20">
        <v>2028</v>
      </c>
      <c r="C19" s="20">
        <v>4</v>
      </c>
      <c r="D19" s="21">
        <f>'00_통제변수'!$F$16*(1+'00_통제변수'!$F$17)^(A19-1)</f>
        <v>11.130827625819936</v>
      </c>
      <c r="E19" s="22">
        <f t="shared" si="3"/>
        <v>590.96530246183295</v>
      </c>
      <c r="F19" s="23">
        <f>'00_통제변수'!$F$18+('00_통제변수'!$F$19-'00_통제변수'!$F$18)*MIN(1,MAX(0,(A19-'00_통제변수'!$F$20+1)/MAX(1,'00_통제변수'!$F$21)))</f>
        <v>0.105</v>
      </c>
      <c r="G19" s="22">
        <f t="shared" si="4"/>
        <v>60.882619857781364</v>
      </c>
      <c r="H19" s="22">
        <f t="shared" si="0"/>
        <v>72.013447483601297</v>
      </c>
      <c r="I19" s="24">
        <f>'00_통제변수'!$F$22+('00_통제변수'!$F$23-'00_통제변수'!$F$22)*MIN(1,MAX(0,(A19-'00_통제변수'!$F$24+1)/MAX(1,'00_통제변수'!$F$25)))</f>
        <v>1.2889999999999999</v>
      </c>
      <c r="J19" s="22">
        <f t="shared" si="1"/>
        <v>92.825333806362067</v>
      </c>
      <c r="K19" s="25">
        <f>IF(A19&gt;='00_통제변수'!$F$28,'00_통제변수'!$F$27,'00_통제변수'!$F$26)</f>
        <v>31846</v>
      </c>
      <c r="L19" s="26">
        <f t="shared" si="2"/>
        <v>295.61155803974066</v>
      </c>
      <c r="M19" s="26">
        <f>(L19+S19)/(1-'00_통제변수'!$B$8)*'00_통제변수'!$B$11</f>
        <v>323.27778042616274</v>
      </c>
      <c r="N19" s="26">
        <f>(E19+P19)*('00_통제변수'!$B$9+('00_통제변수'!$B$10-'00_통제변수'!$B$9)*(A19-1)/MAX(1,'00_통제변수'!$B$6-1))</f>
        <v>1426.5526152870639</v>
      </c>
      <c r="O19" s="34">
        <f>IF(A19&gt;='00_통제변수'!$B$32,'00_통제변수'!$B$33/10000,0)</f>
        <v>1</v>
      </c>
      <c r="P19" s="35">
        <f t="shared" si="5"/>
        <v>8</v>
      </c>
      <c r="Q19" s="35">
        <f>O19+P18*'00_통제변수'!$B$34</f>
        <v>1.21</v>
      </c>
      <c r="R19" s="35">
        <f>Q19*'00_통제변수'!$B$36</f>
        <v>1.2705</v>
      </c>
      <c r="S19" s="22">
        <f>R19*'00_통제변수'!$B$35/10000</f>
        <v>7.6230000000000002</v>
      </c>
    </row>
    <row r="20" spans="1:19">
      <c r="A20" s="20">
        <v>17</v>
      </c>
      <c r="B20" s="20">
        <v>2028</v>
      </c>
      <c r="C20" s="20">
        <v>5</v>
      </c>
      <c r="D20" s="21">
        <f>'00_통제변수'!$F$16*(1+'00_통제변수'!$F$17)^(A20-1)</f>
        <v>11.075173487690837</v>
      </c>
      <c r="E20" s="22">
        <f t="shared" si="3"/>
        <v>602.04047594952374</v>
      </c>
      <c r="F20" s="23">
        <f>'00_통제변수'!$F$18+('00_통제변수'!$F$19-'00_통제변수'!$F$18)*MIN(1,MAX(0,(A20-'00_통제변수'!$F$20+1)/MAX(1,'00_통제변수'!$F$21)))</f>
        <v>0.105</v>
      </c>
      <c r="G20" s="22">
        <f t="shared" si="4"/>
        <v>62.05135675849246</v>
      </c>
      <c r="H20" s="22">
        <f t="shared" si="0"/>
        <v>73.126530246183293</v>
      </c>
      <c r="I20" s="24">
        <f>'00_통제변수'!$F$22+('00_통제변수'!$F$23-'00_통제변수'!$F$22)*MIN(1,MAX(0,(A20-'00_통제변수'!$F$24+1)/MAX(1,'00_통제변수'!$F$25)))</f>
        <v>1.2889999999999999</v>
      </c>
      <c r="J20" s="22">
        <f t="shared" si="1"/>
        <v>94.260097487330256</v>
      </c>
      <c r="K20" s="25">
        <f>IF(A20&gt;='00_통제변수'!$F$28,'00_통제변수'!$F$27,'00_통제변수'!$F$26)</f>
        <v>31846</v>
      </c>
      <c r="L20" s="26">
        <f t="shared" si="2"/>
        <v>300.18070645815197</v>
      </c>
      <c r="M20" s="26">
        <f>(L20+S20)/(1-'00_통제변수'!$B$8)*'00_통제변수'!$B$11</f>
        <v>328.35043332425585</v>
      </c>
      <c r="N20" s="26">
        <f>(E20+P20)*('00_통제변수'!$B$9+('00_통제변수'!$B$10-'00_통제변수'!$B$9)*(A20-1)/MAX(1,'00_통제변수'!$B$6-1))</f>
        <v>1447.2338323590923</v>
      </c>
      <c r="O20" s="34">
        <f>IF(A20&gt;='00_통제변수'!$B$32,'00_통제변수'!$B$33/10000,0)</f>
        <v>1</v>
      </c>
      <c r="P20" s="35">
        <f t="shared" si="5"/>
        <v>9</v>
      </c>
      <c r="Q20" s="35">
        <f>O20+P19*'00_통제변수'!$B$34</f>
        <v>1.24</v>
      </c>
      <c r="R20" s="35">
        <f>Q20*'00_통제변수'!$B$36</f>
        <v>1.302</v>
      </c>
      <c r="S20" s="22">
        <f>R20*'00_통제변수'!$B$35/10000</f>
        <v>7.8120000000000003</v>
      </c>
    </row>
    <row r="21" spans="1:19">
      <c r="A21" s="20">
        <v>18</v>
      </c>
      <c r="B21" s="20">
        <v>2028</v>
      </c>
      <c r="C21" s="20">
        <v>6</v>
      </c>
      <c r="D21" s="21">
        <f>'00_통제변수'!$F$16*(1+'00_통제변수'!$F$17)^(A21-1)</f>
        <v>11.019797620252383</v>
      </c>
      <c r="E21" s="22">
        <f t="shared" si="3"/>
        <v>613.06027356977609</v>
      </c>
      <c r="F21" s="23">
        <f>'00_통제변수'!$F$18+('00_통제변수'!$F$19-'00_통제변수'!$F$18)*MIN(1,MAX(0,(A21-'00_통제변수'!$F$20+1)/MAX(1,'00_통제변수'!$F$21)))</f>
        <v>0.105</v>
      </c>
      <c r="G21" s="22">
        <f t="shared" si="4"/>
        <v>63.214249974699989</v>
      </c>
      <c r="H21" s="22">
        <f t="shared" si="0"/>
        <v>74.234047594952372</v>
      </c>
      <c r="I21" s="24">
        <f>'00_통제변수'!$F$22+('00_통제변수'!$F$23-'00_통제변수'!$F$22)*MIN(1,MAX(0,(A21-'00_통제변수'!$F$24+1)/MAX(1,'00_통제변수'!$F$25)))</f>
        <v>1.2889999999999999</v>
      </c>
      <c r="J21" s="22">
        <f t="shared" si="1"/>
        <v>95.687687349893608</v>
      </c>
      <c r="K21" s="25">
        <f>IF(A21&gt;='00_통제변수'!$F$28,'00_통제변수'!$F$27,'00_통제변수'!$F$26)</f>
        <v>31846</v>
      </c>
      <c r="L21" s="26">
        <f t="shared" si="2"/>
        <v>304.72700913447119</v>
      </c>
      <c r="M21" s="26">
        <f>(L21+S21)/(1-'00_통제변수'!$B$8)*'00_통제변수'!$B$11</f>
        <v>333.39873042054495</v>
      </c>
      <c r="N21" s="26">
        <f>(E21+P21)*('00_통제변수'!$B$9+('00_통제변수'!$B$10-'00_통제변수'!$B$9)*(A21-1)/MAX(1,'00_통제변수'!$B$6-1))</f>
        <v>1467.4653494111201</v>
      </c>
      <c r="O21" s="34">
        <f>IF(A21&gt;='00_통제변수'!$B$32,'00_통제변수'!$B$33/10000,0)</f>
        <v>1</v>
      </c>
      <c r="P21" s="35">
        <f t="shared" si="5"/>
        <v>10</v>
      </c>
      <c r="Q21" s="35">
        <f>O21+P20*'00_통제변수'!$B$34</f>
        <v>1.27</v>
      </c>
      <c r="R21" s="35">
        <f>Q21*'00_통제변수'!$B$36</f>
        <v>1.3335000000000001</v>
      </c>
      <c r="S21" s="22">
        <f>R21*'00_통제변수'!$B$35/10000</f>
        <v>8.0010000000000012</v>
      </c>
    </row>
    <row r="22" spans="1:19">
      <c r="A22" s="20">
        <v>19</v>
      </c>
      <c r="B22" s="20">
        <v>2028</v>
      </c>
      <c r="C22" s="20">
        <v>7</v>
      </c>
      <c r="D22" s="21">
        <f>'00_통제변수'!$F$16*(1+'00_통제변수'!$F$17)^(A22-1)</f>
        <v>10.964698632151121</v>
      </c>
      <c r="E22" s="22">
        <f t="shared" si="3"/>
        <v>624.0249722019272</v>
      </c>
      <c r="F22" s="23">
        <f>'00_통제변수'!$F$18+('00_통제변수'!$F$19-'00_통제변수'!$F$18)*MIN(1,MAX(0,(A22-'00_통제변수'!$F$20+1)/MAX(1,'00_통제변수'!$F$21)))</f>
        <v>0.105</v>
      </c>
      <c r="G22" s="22">
        <f t="shared" si="4"/>
        <v>64.371328724826483</v>
      </c>
      <c r="H22" s="22">
        <f t="shared" si="0"/>
        <v>75.33602735697761</v>
      </c>
      <c r="I22" s="24">
        <f>'00_통제변수'!$F$22+('00_통제변수'!$F$23-'00_통제변수'!$F$22)*MIN(1,MAX(0,(A22-'00_통제변수'!$F$24+1)/MAX(1,'00_통제변수'!$F$25)))</f>
        <v>1.2889999999999999</v>
      </c>
      <c r="J22" s="22">
        <f t="shared" si="1"/>
        <v>97.108139263144139</v>
      </c>
      <c r="K22" s="25">
        <f>IF(A22&gt;='00_통제변수'!$F$28,'00_통제변수'!$F$27,'00_통제변수'!$F$26)</f>
        <v>31846</v>
      </c>
      <c r="L22" s="26">
        <f t="shared" si="2"/>
        <v>309.25058029740882</v>
      </c>
      <c r="M22" s="26">
        <f>(L22+S22)/(1-'00_통제변수'!$B$8)*'00_통제변수'!$B$11</f>
        <v>338.42279349403924</v>
      </c>
      <c r="N22" s="26">
        <f>(E22+P22)*('00_통제변수'!$B$9+('00_통제변수'!$B$10-'00_통제변수'!$B$9)*(A22-1)/MAX(1,'00_통제변수'!$B$6-1))</f>
        <v>1487.2500111671577</v>
      </c>
      <c r="O22" s="34">
        <f>IF(A22&gt;='00_통제변수'!$B$32,'00_통제변수'!$B$33/10000,0)</f>
        <v>1</v>
      </c>
      <c r="P22" s="35">
        <f t="shared" si="5"/>
        <v>11</v>
      </c>
      <c r="Q22" s="35">
        <f>O22+P21*'00_통제변수'!$B$34</f>
        <v>1.3</v>
      </c>
      <c r="R22" s="35">
        <f>Q22*'00_통제변수'!$B$36</f>
        <v>1.3650000000000002</v>
      </c>
      <c r="S22" s="22">
        <f>R22*'00_통제변수'!$B$35/10000</f>
        <v>8.1900000000000013</v>
      </c>
    </row>
    <row r="23" spans="1:19">
      <c r="A23" s="20">
        <v>20</v>
      </c>
      <c r="B23" s="20">
        <v>2028</v>
      </c>
      <c r="C23" s="20">
        <v>8</v>
      </c>
      <c r="D23" s="21">
        <f>'00_통제변수'!$F$16*(1+'00_통제변수'!$F$17)^(A23-1)</f>
        <v>10.909875138990365</v>
      </c>
      <c r="E23" s="22">
        <f t="shared" si="3"/>
        <v>634.9348473409176</v>
      </c>
      <c r="F23" s="23">
        <f>'00_통제변수'!$F$18+('00_통제변수'!$F$19-'00_통제변수'!$F$18)*MIN(1,MAX(0,(A23-'00_통제변수'!$F$20+1)/MAX(1,'00_통제변수'!$F$21)))</f>
        <v>0.105</v>
      </c>
      <c r="G23" s="22">
        <f t="shared" si="4"/>
        <v>65.522622081202357</v>
      </c>
      <c r="H23" s="22">
        <f t="shared" si="0"/>
        <v>76.432497220192715</v>
      </c>
      <c r="I23" s="24">
        <f>'00_통제변수'!$F$22+('00_통제변수'!$F$23-'00_통제변수'!$F$22)*MIN(1,MAX(0,(A23-'00_통제변수'!$F$24+1)/MAX(1,'00_통제변수'!$F$25)))</f>
        <v>1.2889999999999999</v>
      </c>
      <c r="J23" s="22">
        <f t="shared" si="1"/>
        <v>98.521488916828403</v>
      </c>
      <c r="K23" s="25">
        <f>IF(A23&gt;='00_통제변수'!$F$28,'00_통제변수'!$F$27,'00_통제변수'!$F$26)</f>
        <v>31846</v>
      </c>
      <c r="L23" s="26">
        <f t="shared" si="2"/>
        <v>313.75153360453174</v>
      </c>
      <c r="M23" s="26">
        <f>(L23+S23)/(1-'00_통제변수'!$B$8)*'00_통제변수'!$B$11</f>
        <v>343.42274371485263</v>
      </c>
      <c r="N23" s="26">
        <f>(E23+P23)*('00_통제변수'!$B$9+('00_통제변수'!$B$10-'00_통제변수'!$B$9)*(A23-1)/MAX(1,'00_통제변수'!$B$6-1))</f>
        <v>1506.5906444854588</v>
      </c>
      <c r="O23" s="34">
        <f>IF(A23&gt;='00_통제변수'!$B$32,'00_통제변수'!$B$33/10000,0)</f>
        <v>1</v>
      </c>
      <c r="P23" s="35">
        <f t="shared" si="5"/>
        <v>12</v>
      </c>
      <c r="Q23" s="35">
        <f>O23+P22*'00_통제변수'!$B$34</f>
        <v>1.33</v>
      </c>
      <c r="R23" s="35">
        <f>Q23*'00_통제변수'!$B$36</f>
        <v>1.3965000000000001</v>
      </c>
      <c r="S23" s="22">
        <f>R23*'00_통제변수'!$B$35/10000</f>
        <v>8.3789999999999996</v>
      </c>
    </row>
    <row r="24" spans="1:19">
      <c r="A24" s="20">
        <v>21</v>
      </c>
      <c r="B24" s="20">
        <v>2028</v>
      </c>
      <c r="C24" s="20">
        <v>9</v>
      </c>
      <c r="D24" s="21">
        <f>'00_통제변수'!$F$16*(1+'00_통제변수'!$F$17)^(A24-1)</f>
        <v>10.855325763295413</v>
      </c>
      <c r="E24" s="22">
        <f t="shared" si="3"/>
        <v>645.79017310421307</v>
      </c>
      <c r="F24" s="23">
        <f>'00_통제변수'!$F$18+('00_통제변수'!$F$19-'00_통제변수'!$F$18)*MIN(1,MAX(0,(A24-'00_통제변수'!$F$20+1)/MAX(1,'00_통제변수'!$F$21)))</f>
        <v>0.105</v>
      </c>
      <c r="G24" s="22">
        <f t="shared" si="4"/>
        <v>66.668158970796341</v>
      </c>
      <c r="H24" s="22">
        <f t="shared" si="0"/>
        <v>77.523484734091753</v>
      </c>
      <c r="I24" s="24">
        <f>'00_통제변수'!$F$22+('00_통제변수'!$F$23-'00_통제변수'!$F$22)*MIN(1,MAX(0,(A24-'00_통제변수'!$F$24+1)/MAX(1,'00_통제변수'!$F$25)))</f>
        <v>1.2889999999999999</v>
      </c>
      <c r="J24" s="22">
        <f t="shared" si="1"/>
        <v>99.927771822244267</v>
      </c>
      <c r="K24" s="25">
        <f>IF(A24&gt;='00_통제변수'!$F$28,'00_통제변수'!$F$27,'00_통제변수'!$F$26)</f>
        <v>31846</v>
      </c>
      <c r="L24" s="26">
        <f t="shared" si="2"/>
        <v>318.2299821451191</v>
      </c>
      <c r="M24" s="26">
        <f>(L24+S24)/(1-'00_통제변수'!$B$8)*'00_통제변수'!$B$11</f>
        <v>348.39870164724852</v>
      </c>
      <c r="N24" s="26">
        <f>(E24+P24)*('00_통제변수'!$B$9+('00_통제변수'!$B$10-'00_통제변수'!$B$9)*(A24-1)/MAX(1,'00_통제변수'!$B$6-1))</f>
        <v>1525.4900584660611</v>
      </c>
      <c r="O24" s="34">
        <f>IF(A24&gt;='00_통제변수'!$B$32,'00_통제변수'!$B$33/10000,0)</f>
        <v>1</v>
      </c>
      <c r="P24" s="35">
        <f t="shared" si="5"/>
        <v>13</v>
      </c>
      <c r="Q24" s="35">
        <f>O24+P23*'00_통제변수'!$B$34</f>
        <v>1.3599999999999999</v>
      </c>
      <c r="R24" s="35">
        <f>Q24*'00_통제변수'!$B$36</f>
        <v>1.4279999999999999</v>
      </c>
      <c r="S24" s="22">
        <f>R24*'00_통제변수'!$B$35/10000</f>
        <v>8.5679999999999996</v>
      </c>
    </row>
    <row r="25" spans="1:19">
      <c r="A25" s="20">
        <v>22</v>
      </c>
      <c r="B25" s="20">
        <v>2028</v>
      </c>
      <c r="C25" s="20">
        <v>10</v>
      </c>
      <c r="D25" s="21">
        <f>'00_통제변수'!$F$16*(1+'00_통제변수'!$F$17)^(A25-1)</f>
        <v>10.801049134478937</v>
      </c>
      <c r="E25" s="22">
        <f t="shared" si="3"/>
        <v>656.59122223869201</v>
      </c>
      <c r="F25" s="23">
        <f>'00_통제변수'!$F$18+('00_통제변수'!$F$19-'00_통제변수'!$F$18)*MIN(1,MAX(0,(A25-'00_통제변수'!$F$20+1)/MAX(1,'00_통제변수'!$F$21)))</f>
        <v>0.105</v>
      </c>
      <c r="G25" s="22">
        <f t="shared" si="4"/>
        <v>67.807968175942364</v>
      </c>
      <c r="H25" s="22">
        <f t="shared" si="0"/>
        <v>78.609017310421308</v>
      </c>
      <c r="I25" s="24">
        <f>'00_통제변수'!$F$22+('00_통제변수'!$F$23-'00_통제변수'!$F$22)*MIN(1,MAX(0,(A25-'00_통제변수'!$F$24+1)/MAX(1,'00_통제변수'!$F$25)))</f>
        <v>1.2889999999999999</v>
      </c>
      <c r="J25" s="22">
        <f t="shared" si="1"/>
        <v>101.32702331313305</v>
      </c>
      <c r="K25" s="25">
        <f>IF(A25&gt;='00_통제변수'!$F$28,'00_통제변수'!$F$27,'00_통제변수'!$F$26)</f>
        <v>31846</v>
      </c>
      <c r="L25" s="26">
        <f t="shared" si="2"/>
        <v>322.6860384430035</v>
      </c>
      <c r="M25" s="26">
        <f>(L25+S25)/(1-'00_통제변수'!$B$8)*'00_통제변수'!$B$11</f>
        <v>353.35078725266902</v>
      </c>
      <c r="N25" s="26">
        <f>(E25+P25)*('00_통제변수'!$B$9+('00_통제변수'!$B$10-'00_통제변수'!$B$9)*(A25-1)/MAX(1,'00_통제변수'!$B$6-1))</f>
        <v>1543.9510445576936</v>
      </c>
      <c r="O25" s="34">
        <f>IF(A25&gt;='00_통제변수'!$B$32,'00_통제변수'!$B$33/10000,0)</f>
        <v>1</v>
      </c>
      <c r="P25" s="35">
        <f t="shared" si="5"/>
        <v>14</v>
      </c>
      <c r="Q25" s="35">
        <f>O25+P24*'00_통제변수'!$B$34</f>
        <v>1.3900000000000001</v>
      </c>
      <c r="R25" s="35">
        <f>Q25*'00_통제변수'!$B$36</f>
        <v>1.4595000000000002</v>
      </c>
      <c r="S25" s="22">
        <f>R25*'00_통제변수'!$B$35/10000</f>
        <v>8.7570000000000014</v>
      </c>
    </row>
    <row r="26" spans="1:19">
      <c r="A26" s="20">
        <v>23</v>
      </c>
      <c r="B26" s="20">
        <v>2028</v>
      </c>
      <c r="C26" s="20">
        <v>11</v>
      </c>
      <c r="D26" s="21">
        <f>'00_통제변수'!$F$16*(1+'00_통제변수'!$F$17)^(A26-1)</f>
        <v>10.747043888806541</v>
      </c>
      <c r="E26" s="22">
        <f t="shared" si="3"/>
        <v>667.33826612749851</v>
      </c>
      <c r="F26" s="23">
        <f>'00_통제변수'!$F$18+('00_통제변수'!$F$19-'00_통제변수'!$F$18)*MIN(1,MAX(0,(A26-'00_통제변수'!$F$20+1)/MAX(1,'00_통제변수'!$F$21)))</f>
        <v>0.105</v>
      </c>
      <c r="G26" s="22">
        <f t="shared" si="4"/>
        <v>68.942078335062661</v>
      </c>
      <c r="H26" s="22">
        <f t="shared" si="0"/>
        <v>79.689122223869205</v>
      </c>
      <c r="I26" s="24">
        <f>'00_통제변수'!$F$22+('00_통제변수'!$F$23-'00_통제변수'!$F$22)*MIN(1,MAX(0,(A26-'00_통제변수'!$F$24+1)/MAX(1,'00_통제변수'!$F$25)))</f>
        <v>1.2889999999999999</v>
      </c>
      <c r="J26" s="22">
        <f t="shared" si="1"/>
        <v>102.71927854656739</v>
      </c>
      <c r="K26" s="25">
        <f>IF(A26&gt;='00_통제변수'!$F$28,'00_통제변수'!$F$27,'00_통제변수'!$F$26)</f>
        <v>31846</v>
      </c>
      <c r="L26" s="26">
        <f t="shared" si="2"/>
        <v>327.11981445939853</v>
      </c>
      <c r="M26" s="26">
        <f>(L26+S26)/(1-'00_통제변수'!$B$8)*'00_통제변수'!$B$11</f>
        <v>358.27911989274901</v>
      </c>
      <c r="N26" s="26">
        <f>(E26+P26)*('00_통제변수'!$B$9+('00_통제변수'!$B$10-'00_통제변수'!$B$9)*(A26-1)/MAX(1,'00_통제변수'!$B$6-1))</f>
        <v>1561.9763766640669</v>
      </c>
      <c r="O26" s="34">
        <f>IF(A26&gt;='00_통제변수'!$B$32,'00_통제변수'!$B$33/10000,0)</f>
        <v>1</v>
      </c>
      <c r="P26" s="35">
        <f t="shared" si="5"/>
        <v>15</v>
      </c>
      <c r="Q26" s="35">
        <f>O26+P25*'00_통제변수'!$B$34</f>
        <v>1.42</v>
      </c>
      <c r="R26" s="35">
        <f>Q26*'00_통제변수'!$B$36</f>
        <v>1.4909999999999999</v>
      </c>
      <c r="S26" s="22">
        <f>R26*'00_통제변수'!$B$35/10000</f>
        <v>8.9459999999999997</v>
      </c>
    </row>
    <row r="27" spans="1:19">
      <c r="A27" s="27">
        <v>24</v>
      </c>
      <c r="B27" s="27">
        <v>2028</v>
      </c>
      <c r="C27" s="27">
        <v>12</v>
      </c>
      <c r="D27" s="28">
        <f>'00_통제변수'!$F$16*(1+'00_통제변수'!$F$17)^(A27-1)</f>
        <v>10.693308669362509</v>
      </c>
      <c r="E27" s="29">
        <f t="shared" si="3"/>
        <v>678.03157479686104</v>
      </c>
      <c r="F27" s="30">
        <f>'00_통제변수'!$F$18+('00_통제변수'!$F$19-'00_통제변수'!$F$18)*MIN(1,MAX(0,(A27-'00_통제변수'!$F$20+1)/MAX(1,'00_통제변수'!$F$21)))</f>
        <v>0.105</v>
      </c>
      <c r="G27" s="29">
        <f t="shared" si="4"/>
        <v>70.070517943387344</v>
      </c>
      <c r="H27" s="29">
        <f t="shared" si="0"/>
        <v>80.763826612749853</v>
      </c>
      <c r="I27" s="31">
        <f>'00_통제변수'!$F$22+('00_통제변수'!$F$23-'00_통제변수'!$F$22)*MIN(1,MAX(0,(A27-'00_통제변수'!$F$24+1)/MAX(1,'00_통제변수'!$F$25)))</f>
        <v>1.2889999999999999</v>
      </c>
      <c r="J27" s="29">
        <f t="shared" si="1"/>
        <v>104.10457250383456</v>
      </c>
      <c r="K27" s="32">
        <f>IF(A27&gt;='00_통제변수'!$F$28,'00_통제변수'!$F$27,'00_통제변수'!$F$26)</f>
        <v>31846</v>
      </c>
      <c r="L27" s="33">
        <f t="shared" si="2"/>
        <v>331.53142159571155</v>
      </c>
      <c r="M27" s="33">
        <f>(L27+S27)/(1-'00_통제변수'!$B$8)*'00_통제변수'!$B$11</f>
        <v>363.18381833231507</v>
      </c>
      <c r="N27" s="33">
        <f>(E27+P27)*('00_통제변수'!$B$9+('00_통제변수'!$B$10-'00_통제변수'!$B$9)*(A27-1)/MAX(1,'00_통제변수'!$B$6-1))</f>
        <v>1579.5688112495338</v>
      </c>
      <c r="O27" s="36">
        <f>IF(A27&gt;='00_통제변수'!$B$32,'00_통제변수'!$B$33/10000,0)</f>
        <v>1</v>
      </c>
      <c r="P27" s="37">
        <f t="shared" si="5"/>
        <v>16</v>
      </c>
      <c r="Q27" s="37">
        <f>O27+P26*'00_통제변수'!$B$34</f>
        <v>1.45</v>
      </c>
      <c r="R27" s="37">
        <f>Q27*'00_통제변수'!$B$36</f>
        <v>1.5225</v>
      </c>
      <c r="S27" s="29">
        <f>R27*'00_통제변수'!$B$35/10000</f>
        <v>9.1349999999999998</v>
      </c>
    </row>
    <row r="28" spans="1:19">
      <c r="A28" s="20">
        <v>25</v>
      </c>
      <c r="B28" s="20">
        <v>2029</v>
      </c>
      <c r="C28" s="20">
        <v>1</v>
      </c>
      <c r="D28" s="21">
        <f>'00_통제변수'!$F$16*(1+'00_통제변수'!$F$17)^(A28-1)</f>
        <v>10.639842126015697</v>
      </c>
      <c r="E28" s="22">
        <f t="shared" si="3"/>
        <v>688.67141692287669</v>
      </c>
      <c r="F28" s="23">
        <f>'00_통제변수'!$F$18+('00_통제변수'!$F$19-'00_통제변수'!$F$18)*MIN(1,MAX(0,(A28-'00_통제변수'!$F$20+1)/MAX(1,'00_통제변수'!$F$21)))</f>
        <v>0.105</v>
      </c>
      <c r="G28" s="22">
        <f t="shared" si="4"/>
        <v>71.1933153536704</v>
      </c>
      <c r="H28" s="22">
        <f t="shared" si="0"/>
        <v>81.833157479686093</v>
      </c>
      <c r="I28" s="24">
        <f>'00_통제변수'!$F$22+('00_통제변수'!$F$23-'00_통제변수'!$F$22)*MIN(1,MAX(0,(A28-'00_통제변수'!$F$24+1)/MAX(1,'00_통제변수'!$F$25)))</f>
        <v>1.2889999999999999</v>
      </c>
      <c r="J28" s="22">
        <f t="shared" si="1"/>
        <v>105.48293999131536</v>
      </c>
      <c r="K28" s="25">
        <f>IF(A28&gt;='00_통제변수'!$F$28,'00_통제변수'!$F$27,'00_통제변수'!$F$26)</f>
        <v>31846</v>
      </c>
      <c r="L28" s="26">
        <f t="shared" si="2"/>
        <v>335.92097069634292</v>
      </c>
      <c r="M28" s="26">
        <f>(L28+S28)/(1-'00_통제변수'!$B$8)*'00_통제변수'!$B$11</f>
        <v>368.06500074236988</v>
      </c>
      <c r="N28" s="26">
        <f>(E28+P28)*('00_통제변수'!$B$9+('00_통제변수'!$B$10-'00_통제변수'!$B$9)*(A28-1)/MAX(1,'00_통제변수'!$B$6-1))</f>
        <v>1596.7310874441364</v>
      </c>
      <c r="O28" s="34">
        <f>IF(A28&gt;='00_통제변수'!$B$32,'00_통제변수'!$B$33/10000,0)</f>
        <v>1</v>
      </c>
      <c r="P28" s="35">
        <f t="shared" si="5"/>
        <v>17</v>
      </c>
      <c r="Q28" s="35">
        <f>O28+P27*'00_통제변수'!$B$34</f>
        <v>1.48</v>
      </c>
      <c r="R28" s="35">
        <f>Q28*'00_통제변수'!$B$36</f>
        <v>1.554</v>
      </c>
      <c r="S28" s="22">
        <f>R28*'00_통제변수'!$B$35/10000</f>
        <v>9.3239999999999998</v>
      </c>
    </row>
    <row r="29" spans="1:19">
      <c r="A29" s="20">
        <v>26</v>
      </c>
      <c r="B29" s="20">
        <v>2029</v>
      </c>
      <c r="C29" s="20">
        <v>2</v>
      </c>
      <c r="D29" s="21">
        <f>'00_통제변수'!$F$16*(1+'00_통제변수'!$F$17)^(A29-1)</f>
        <v>10.586642915385617</v>
      </c>
      <c r="E29" s="22">
        <f t="shared" si="3"/>
        <v>699.25805983826228</v>
      </c>
      <c r="F29" s="23">
        <f>'00_통제변수'!$F$18+('00_통제변수'!$F$19-'00_통제변수'!$F$18)*MIN(1,MAX(0,(A29-'00_통제변수'!$F$20+1)/MAX(1,'00_통제변수'!$F$21)))</f>
        <v>0.105</v>
      </c>
      <c r="G29" s="22">
        <f t="shared" si="4"/>
        <v>72.310498776902051</v>
      </c>
      <c r="H29" s="22">
        <f t="shared" si="0"/>
        <v>82.897141692287676</v>
      </c>
      <c r="I29" s="24">
        <f>'00_통제변수'!$F$22+('00_통제변수'!$F$23-'00_통제변수'!$F$22)*MIN(1,MAX(0,(A29-'00_통제변수'!$F$24+1)/MAX(1,'00_통제변수'!$F$25)))</f>
        <v>1.2889999999999999</v>
      </c>
      <c r="J29" s="22">
        <f t="shared" si="1"/>
        <v>106.85441564135881</v>
      </c>
      <c r="K29" s="25">
        <f>IF(A29&gt;='00_통제변수'!$F$28,'00_통제변수'!$F$27,'00_통제변수'!$F$26)</f>
        <v>31846</v>
      </c>
      <c r="L29" s="26">
        <f t="shared" si="2"/>
        <v>340.28857205147131</v>
      </c>
      <c r="M29" s="26">
        <f>(L29+S29)/(1-'00_통제변수'!$B$8)*'00_통제변수'!$B$11</f>
        <v>372.9227847030611</v>
      </c>
      <c r="N29" s="26">
        <f>(E29+P29)*('00_통제변수'!$B$9+('00_통제변수'!$B$10-'00_통제변수'!$B$9)*(A29-1)/MAX(1,'00_통제변수'!$B$6-1))</f>
        <v>1613.4659271480368</v>
      </c>
      <c r="O29" s="34">
        <f>IF(A29&gt;='00_통제변수'!$B$32,'00_통제변수'!$B$33/10000,0)</f>
        <v>1</v>
      </c>
      <c r="P29" s="35">
        <f t="shared" si="5"/>
        <v>18</v>
      </c>
      <c r="Q29" s="35">
        <f>O29+P28*'00_통제변수'!$B$34</f>
        <v>1.51</v>
      </c>
      <c r="R29" s="35">
        <f>Q29*'00_통제변수'!$B$36</f>
        <v>1.5855000000000001</v>
      </c>
      <c r="S29" s="22">
        <f>R29*'00_통제변수'!$B$35/10000</f>
        <v>9.5130000000000017</v>
      </c>
    </row>
    <row r="30" spans="1:19">
      <c r="A30" s="20">
        <v>27</v>
      </c>
      <c r="B30" s="20">
        <v>2029</v>
      </c>
      <c r="C30" s="20">
        <v>3</v>
      </c>
      <c r="D30" s="21">
        <f>'00_통제변수'!$F$16*(1+'00_통제변수'!$F$17)^(A30-1)</f>
        <v>10.533709700808691</v>
      </c>
      <c r="E30" s="22">
        <f t="shared" si="3"/>
        <v>709.79176953907097</v>
      </c>
      <c r="F30" s="23">
        <f>'00_통제변수'!$F$18+('00_통제변수'!$F$19-'00_통제변수'!$F$18)*MIN(1,MAX(0,(A30-'00_통제변수'!$F$20+1)/MAX(1,'00_통제변수'!$F$21)))</f>
        <v>0.105</v>
      </c>
      <c r="G30" s="22">
        <f t="shared" si="4"/>
        <v>73.422096283017538</v>
      </c>
      <c r="H30" s="22">
        <f t="shared" si="0"/>
        <v>83.955805983826224</v>
      </c>
      <c r="I30" s="24">
        <f>'00_통제변수'!$F$22+('00_통제변수'!$F$23-'00_통제변수'!$F$22)*MIN(1,MAX(0,(A30-'00_통제변수'!$F$24+1)/MAX(1,'00_통제변수'!$F$25)))</f>
        <v>1.2889999999999999</v>
      </c>
      <c r="J30" s="22">
        <f t="shared" si="1"/>
        <v>108.21903391315199</v>
      </c>
      <c r="K30" s="25">
        <f>IF(A30&gt;='00_통제변수'!$F$28,'00_통제변수'!$F$27,'00_통제변수'!$F$26)</f>
        <v>31846</v>
      </c>
      <c r="L30" s="26">
        <f t="shared" si="2"/>
        <v>344.63433539982384</v>
      </c>
      <c r="M30" s="26">
        <f>(L30+S30)/(1-'00_통제변수'!$B$8)*'00_통제변수'!$B$11</f>
        <v>377.75728720663523</v>
      </c>
      <c r="N30" s="26">
        <f>(E30+P30)*('00_통제변수'!$B$9+('00_통제변수'!$B$10-'00_통제변수'!$B$9)*(A30-1)/MAX(1,'00_통제변수'!$B$6-1))</f>
        <v>1629.7760351353393</v>
      </c>
      <c r="O30" s="34">
        <f>IF(A30&gt;='00_통제변수'!$B$32,'00_통제변수'!$B$33/10000,0)</f>
        <v>1</v>
      </c>
      <c r="P30" s="35">
        <f t="shared" si="5"/>
        <v>19</v>
      </c>
      <c r="Q30" s="35">
        <f>O30+P29*'00_통제변수'!$B$34</f>
        <v>1.54</v>
      </c>
      <c r="R30" s="35">
        <f>Q30*'00_통제변수'!$B$36</f>
        <v>1.6170000000000002</v>
      </c>
      <c r="S30" s="22">
        <f>R30*'00_통제변수'!$B$35/10000</f>
        <v>9.7020000000000017</v>
      </c>
    </row>
    <row r="31" spans="1:19">
      <c r="A31" s="20">
        <v>28</v>
      </c>
      <c r="B31" s="20">
        <v>2029</v>
      </c>
      <c r="C31" s="20">
        <v>4</v>
      </c>
      <c r="D31" s="21">
        <f>'00_통제변수'!$F$16*(1+'00_통제변수'!$F$17)^(A31-1)</f>
        <v>10.481041152304647</v>
      </c>
      <c r="E31" s="22">
        <f t="shared" si="3"/>
        <v>720.27281069137564</v>
      </c>
      <c r="F31" s="23">
        <f>'00_통제변수'!$F$18+('00_통제변수'!$F$19-'00_통제변수'!$F$18)*MIN(1,MAX(0,(A31-'00_통제변수'!$F$20+1)/MAX(1,'00_통제변수'!$F$21)))</f>
        <v>0.105</v>
      </c>
      <c r="G31" s="22">
        <f t="shared" si="4"/>
        <v>74.528135801602446</v>
      </c>
      <c r="H31" s="22">
        <f t="shared" si="0"/>
        <v>85.009176953907087</v>
      </c>
      <c r="I31" s="24">
        <f>'00_통제변수'!$F$22+('00_통제변수'!$F$23-'00_통제변수'!$F$22)*MIN(1,MAX(0,(A31-'00_통제변수'!$F$24+1)/MAX(1,'00_통제변수'!$F$25)))</f>
        <v>1.2889999999999999</v>
      </c>
      <c r="J31" s="22">
        <f t="shared" si="1"/>
        <v>109.57682909358623</v>
      </c>
      <c r="K31" s="25">
        <f>IF(A31&gt;='00_통제변수'!$F$28,'00_통제변수'!$F$27,'00_통제변수'!$F$26)</f>
        <v>31846</v>
      </c>
      <c r="L31" s="26">
        <f t="shared" si="2"/>
        <v>348.95836993143467</v>
      </c>
      <c r="M31" s="26">
        <f>(L31+S31)/(1-'00_통제변수'!$B$8)*'00_통제변수'!$B$11</f>
        <v>382.56862466037813</v>
      </c>
      <c r="N31" s="26">
        <f>(E31+P31)*('00_통제변수'!$B$9+('00_통제변수'!$B$10-'00_통제변수'!$B$9)*(A31-1)/MAX(1,'00_통제변수'!$B$6-1))</f>
        <v>1645.6640991573024</v>
      </c>
      <c r="O31" s="34">
        <f>IF(A31&gt;='00_통제변수'!$B$32,'00_통제변수'!$B$33/10000,0)</f>
        <v>1</v>
      </c>
      <c r="P31" s="35">
        <f t="shared" si="5"/>
        <v>20</v>
      </c>
      <c r="Q31" s="35">
        <f>O31+P30*'00_통제변수'!$B$34</f>
        <v>1.5699999999999998</v>
      </c>
      <c r="R31" s="35">
        <f>Q31*'00_통제변수'!$B$36</f>
        <v>1.6484999999999999</v>
      </c>
      <c r="S31" s="22">
        <f>R31*'00_통제변수'!$B$35/10000</f>
        <v>9.8909999999999982</v>
      </c>
    </row>
    <row r="32" spans="1:19">
      <c r="A32" s="20">
        <v>29</v>
      </c>
      <c r="B32" s="20">
        <v>2029</v>
      </c>
      <c r="C32" s="20">
        <v>5</v>
      </c>
      <c r="D32" s="21">
        <f>'00_통제변수'!$F$16*(1+'00_통제변수'!$F$17)^(A32-1)</f>
        <v>10.428635946543125</v>
      </c>
      <c r="E32" s="22">
        <f t="shared" si="3"/>
        <v>730.70144663791871</v>
      </c>
      <c r="F32" s="23">
        <f>'00_통제변수'!$F$18+('00_통제변수'!$F$19-'00_통제변수'!$F$18)*MIN(1,MAX(0,(A32-'00_통제변수'!$F$20+1)/MAX(1,'00_통제변수'!$F$21)))</f>
        <v>0.105</v>
      </c>
      <c r="G32" s="22">
        <f t="shared" si="4"/>
        <v>75.628645122594435</v>
      </c>
      <c r="H32" s="22">
        <f t="shared" si="0"/>
        <v>86.057281069137559</v>
      </c>
      <c r="I32" s="24">
        <f>'00_통제변수'!$F$22+('00_통제변수'!$F$23-'00_통제변수'!$F$22)*MIN(1,MAX(0,(A32-'00_통제변수'!$F$24+1)/MAX(1,'00_통제변수'!$F$25)))</f>
        <v>1.2889999999999999</v>
      </c>
      <c r="J32" s="22">
        <f t="shared" si="1"/>
        <v>110.92783529811831</v>
      </c>
      <c r="K32" s="25">
        <f>IF(A32&gt;='00_통제변수'!$F$28,'00_통제변수'!$F$27,'00_통제변수'!$F$26)</f>
        <v>31846</v>
      </c>
      <c r="L32" s="26">
        <f t="shared" si="2"/>
        <v>353.26078429038756</v>
      </c>
      <c r="M32" s="26">
        <f>(L32+S32)/(1-'00_통제변수'!$B$8)*'00_통제변수'!$B$11</f>
        <v>387.35691288953899</v>
      </c>
      <c r="N32" s="26">
        <f>(E32+P32)*('00_통제변수'!$B$9+('00_통제변수'!$B$10-'00_통제변수'!$B$9)*(A32-1)/MAX(1,'00_통제변수'!$B$6-1))</f>
        <v>1661.1327900449467</v>
      </c>
      <c r="O32" s="34">
        <f>IF(A32&gt;='00_통제변수'!$B$32,'00_통제변수'!$B$33/10000,0)</f>
        <v>1</v>
      </c>
      <c r="P32" s="35">
        <f t="shared" si="5"/>
        <v>21</v>
      </c>
      <c r="Q32" s="35">
        <f>O32+P31*'00_통제변수'!$B$34</f>
        <v>1.6</v>
      </c>
      <c r="R32" s="35">
        <f>Q32*'00_통제변수'!$B$36</f>
        <v>1.6800000000000002</v>
      </c>
      <c r="S32" s="22">
        <f>R32*'00_통제변수'!$B$35/10000</f>
        <v>10.080000000000002</v>
      </c>
    </row>
    <row r="33" spans="1:19">
      <c r="A33" s="20">
        <v>30</v>
      </c>
      <c r="B33" s="20">
        <v>2029</v>
      </c>
      <c r="C33" s="20">
        <v>6</v>
      </c>
      <c r="D33" s="21">
        <f>'00_통제변수'!$F$16*(1+'00_통제변수'!$F$17)^(A33-1)</f>
        <v>10.37649276681041</v>
      </c>
      <c r="E33" s="22">
        <f t="shared" si="3"/>
        <v>741.07793940472914</v>
      </c>
      <c r="F33" s="23">
        <f>'00_통제변수'!$F$18+('00_통제변수'!$F$19-'00_통제변수'!$F$18)*MIN(1,MAX(0,(A33-'00_통제변수'!$F$20+1)/MAX(1,'00_통제변수'!$F$21)))</f>
        <v>0.105</v>
      </c>
      <c r="G33" s="22">
        <f t="shared" si="4"/>
        <v>76.723651896981465</v>
      </c>
      <c r="H33" s="22">
        <f t="shared" si="0"/>
        <v>87.10014466379188</v>
      </c>
      <c r="I33" s="24">
        <f>'00_통제변수'!$F$22+('00_통제변수'!$F$23-'00_통제변수'!$F$22)*MIN(1,MAX(0,(A33-'00_통제변수'!$F$24+1)/MAX(1,'00_통제변수'!$F$25)))</f>
        <v>1.2889999999999999</v>
      </c>
      <c r="J33" s="22">
        <f t="shared" si="1"/>
        <v>112.27208647162773</v>
      </c>
      <c r="K33" s="25">
        <f>IF(A33&gt;='00_통제변수'!$F$28,'00_통제변수'!$F$27,'00_통제변수'!$F$26)</f>
        <v>31846</v>
      </c>
      <c r="L33" s="26">
        <f t="shared" si="2"/>
        <v>357.54168657754565</v>
      </c>
      <c r="M33" s="26">
        <f>(L33+S33)/(1-'00_통제변수'!$B$8)*'00_통제변수'!$B$11</f>
        <v>392.12226714024058</v>
      </c>
      <c r="N33" s="26">
        <f>(E33+P33)*('00_통제변수'!$B$9+('00_통제변수'!$B$10-'00_통제변수'!$B$9)*(A33-1)/MAX(1,'00_통제변수'!$B$6-1))</f>
        <v>1676.184761811066</v>
      </c>
      <c r="O33" s="34">
        <f>IF(A33&gt;='00_통제변수'!$B$32,'00_통제변수'!$B$33/10000,0)</f>
        <v>1</v>
      </c>
      <c r="P33" s="35">
        <f t="shared" si="5"/>
        <v>22</v>
      </c>
      <c r="Q33" s="35">
        <f>O33+P32*'00_통제변수'!$B$34</f>
        <v>1.63</v>
      </c>
      <c r="R33" s="35">
        <f>Q33*'00_통제변수'!$B$36</f>
        <v>1.7115</v>
      </c>
      <c r="S33" s="22">
        <f>R33*'00_통제변수'!$B$35/10000</f>
        <v>10.269</v>
      </c>
    </row>
    <row r="34" spans="1:19">
      <c r="A34" s="20">
        <v>31</v>
      </c>
      <c r="B34" s="20">
        <v>2029</v>
      </c>
      <c r="C34" s="20">
        <v>7</v>
      </c>
      <c r="D34" s="21">
        <f>'00_통제변수'!$F$16*(1+'00_통제변수'!$F$17)^(A34-1)</f>
        <v>10.324610302976357</v>
      </c>
      <c r="E34" s="22">
        <f t="shared" si="3"/>
        <v>751.40254970770548</v>
      </c>
      <c r="F34" s="23">
        <f>'00_통제변수'!$F$18+('00_통제변수'!$F$19-'00_통제변수'!$F$18)*MIN(1,MAX(0,(A34-'00_통제변수'!$F$20+1)/MAX(1,'00_통제변수'!$F$21)))</f>
        <v>0.105</v>
      </c>
      <c r="G34" s="22">
        <f t="shared" si="4"/>
        <v>77.81318363749655</v>
      </c>
      <c r="H34" s="22">
        <f t="shared" si="0"/>
        <v>88.137793940472903</v>
      </c>
      <c r="I34" s="24">
        <f>'00_통제변수'!$F$22+('00_통제변수'!$F$23-'00_통제변수'!$F$22)*MIN(1,MAX(0,(A34-'00_통제변수'!$F$24+1)/MAX(1,'00_통제변수'!$F$25)))</f>
        <v>1.2889999999999999</v>
      </c>
      <c r="J34" s="22">
        <f t="shared" si="1"/>
        <v>113.60961638926956</v>
      </c>
      <c r="K34" s="25">
        <f>IF(A34&gt;='00_통제변수'!$F$28,'00_통제변수'!$F$27,'00_통제변수'!$F$26)</f>
        <v>31846</v>
      </c>
      <c r="L34" s="26">
        <f t="shared" si="2"/>
        <v>361.80118435326784</v>
      </c>
      <c r="M34" s="26">
        <f>(L34+S34)/(1-'00_통제변수'!$B$8)*'00_통제변수'!$B$11</f>
        <v>396.86480208237515</v>
      </c>
      <c r="N34" s="26">
        <f>(E34+P34)*('00_통제변수'!$B$9+('00_통제변수'!$B$10-'00_통제변수'!$B$9)*(A34-1)/MAX(1,'00_통제변수'!$B$6-1))</f>
        <v>1690.8226517516375</v>
      </c>
      <c r="O34" s="34">
        <f>IF(A34&gt;='00_통제변수'!$B$32,'00_통제변수'!$B$33/10000,0)</f>
        <v>1</v>
      </c>
      <c r="P34" s="35">
        <f t="shared" si="5"/>
        <v>23</v>
      </c>
      <c r="Q34" s="35">
        <f>O34+P33*'00_통제변수'!$B$34</f>
        <v>1.66</v>
      </c>
      <c r="R34" s="35">
        <f>Q34*'00_통제변수'!$B$36</f>
        <v>1.7429999999999999</v>
      </c>
      <c r="S34" s="22">
        <f>R34*'00_통제변수'!$B$35/10000</f>
        <v>10.458</v>
      </c>
    </row>
    <row r="35" spans="1:19">
      <c r="A35" s="20">
        <v>32</v>
      </c>
      <c r="B35" s="20">
        <v>2029</v>
      </c>
      <c r="C35" s="20">
        <v>8</v>
      </c>
      <c r="D35" s="21">
        <f>'00_통제변수'!$F$16*(1+'00_통제변수'!$F$17)^(A35-1)</f>
        <v>10.272987251461474</v>
      </c>
      <c r="E35" s="22">
        <f t="shared" si="3"/>
        <v>761.67553695916695</v>
      </c>
      <c r="F35" s="23">
        <f>'00_통제변수'!$F$18+('00_통제변수'!$F$19-'00_통제변수'!$F$18)*MIN(1,MAX(0,(A35-'00_통제변수'!$F$20+1)/MAX(1,'00_통제변수'!$F$21)))</f>
        <v>0.105</v>
      </c>
      <c r="G35" s="22">
        <f t="shared" si="4"/>
        <v>78.89726771930907</v>
      </c>
      <c r="H35" s="22">
        <f t="shared" si="0"/>
        <v>89.170254970770543</v>
      </c>
      <c r="I35" s="24">
        <f>'00_통제변수'!$F$22+('00_통제변수'!$F$23-'00_통제변수'!$F$22)*MIN(1,MAX(0,(A35-'00_통제변수'!$F$24+1)/MAX(1,'00_통제변수'!$F$25)))</f>
        <v>1.2889999999999999</v>
      </c>
      <c r="J35" s="22">
        <f t="shared" si="1"/>
        <v>114.94045865732322</v>
      </c>
      <c r="K35" s="25">
        <f>IF(A35&gt;='00_통제변수'!$F$28,'00_통제변수'!$F$27,'00_통제변수'!$F$26)</f>
        <v>31846</v>
      </c>
      <c r="L35" s="26">
        <f t="shared" si="2"/>
        <v>366.03938464011156</v>
      </c>
      <c r="M35" s="26">
        <f>(L35+S35)/(1-'00_통제변수'!$B$8)*'00_통제변수'!$B$11</f>
        <v>401.58463181248567</v>
      </c>
      <c r="N35" s="26">
        <f>(E35+P35)*('00_통제변수'!$B$9+('00_통제변수'!$B$10-'00_통제변수'!$B$9)*(A35-1)/MAX(1,'00_통제변수'!$B$6-1))</f>
        <v>1705.0490805466397</v>
      </c>
      <c r="O35" s="34">
        <f>IF(A35&gt;='00_통제변수'!$B$32,'00_통제변수'!$B$33/10000,0)</f>
        <v>1</v>
      </c>
      <c r="P35" s="35">
        <f t="shared" si="5"/>
        <v>24</v>
      </c>
      <c r="Q35" s="35">
        <f>O35+P34*'00_통제변수'!$B$34</f>
        <v>1.69</v>
      </c>
      <c r="R35" s="35">
        <f>Q35*'00_통제변수'!$B$36</f>
        <v>1.7745</v>
      </c>
      <c r="S35" s="22">
        <f>R35*'00_통제변수'!$B$35/10000</f>
        <v>10.647</v>
      </c>
    </row>
    <row r="36" spans="1:19">
      <c r="A36" s="20">
        <v>33</v>
      </c>
      <c r="B36" s="20">
        <v>2029</v>
      </c>
      <c r="C36" s="20">
        <v>9</v>
      </c>
      <c r="D36" s="21">
        <f>'00_통제변수'!$F$16*(1+'00_통제변수'!$F$17)^(A36-1)</f>
        <v>10.221622315204167</v>
      </c>
      <c r="E36" s="22">
        <f t="shared" si="3"/>
        <v>771.89715927437112</v>
      </c>
      <c r="F36" s="23">
        <f>'00_통제변수'!$F$18+('00_통제변수'!$F$19-'00_통제변수'!$F$18)*MIN(1,MAX(0,(A36-'00_통제변수'!$F$20+1)/MAX(1,'00_통제변수'!$F$21)))</f>
        <v>0.105</v>
      </c>
      <c r="G36" s="22">
        <f t="shared" si="4"/>
        <v>79.975931380712524</v>
      </c>
      <c r="H36" s="22">
        <f t="shared" ref="H36:H63" si="6">D36+G36</f>
        <v>90.197553695916696</v>
      </c>
      <c r="I36" s="24">
        <f>'00_통제변수'!$F$22+('00_통제변수'!$F$23-'00_통제변수'!$F$22)*MIN(1,MAX(0,(A36-'00_통제변수'!$F$24+1)/MAX(1,'00_통제변수'!$F$25)))</f>
        <v>1.2889999999999999</v>
      </c>
      <c r="J36" s="22">
        <f t="shared" ref="J36:J63" si="7">H36*I36</f>
        <v>116.26464671403662</v>
      </c>
      <c r="K36" s="25">
        <f>IF(A36&gt;='00_통제변수'!$F$28,'00_통제변수'!$F$27,'00_통제변수'!$F$26)</f>
        <v>31846</v>
      </c>
      <c r="L36" s="26">
        <f t="shared" ref="L36:L63" si="8">J36*K36/10000</f>
        <v>370.25639392552102</v>
      </c>
      <c r="M36" s="26">
        <f>(L36+S36)/(1-'00_통제변수'!$B$8)*'00_통제변수'!$B$11</f>
        <v>406.28186985663228</v>
      </c>
      <c r="N36" s="26">
        <f>(E36+P36)*('00_통제변수'!$B$9+('00_통제변수'!$B$10-'00_통제변수'!$B$9)*(A36-1)/MAX(1,'00_통제변수'!$B$6-1))</f>
        <v>1718.8666523602792</v>
      </c>
      <c r="O36" s="34">
        <f>IF(A36&gt;='00_통제변수'!$B$32,'00_통제변수'!$B$33/10000,0)</f>
        <v>1</v>
      </c>
      <c r="P36" s="35">
        <f t="shared" si="5"/>
        <v>25</v>
      </c>
      <c r="Q36" s="35">
        <f>O36+P35*'00_통제변수'!$B$34</f>
        <v>1.72</v>
      </c>
      <c r="R36" s="35">
        <f>Q36*'00_통제변수'!$B$36</f>
        <v>1.806</v>
      </c>
      <c r="S36" s="22">
        <f>R36*'00_통제변수'!$B$35/10000</f>
        <v>10.836</v>
      </c>
    </row>
    <row r="37" spans="1:19">
      <c r="A37" s="20">
        <v>34</v>
      </c>
      <c r="B37" s="20">
        <v>2029</v>
      </c>
      <c r="C37" s="20">
        <v>10</v>
      </c>
      <c r="D37" s="21">
        <f>'00_통제변수'!$F$16*(1+'00_통제변수'!$F$17)^(A37-1)</f>
        <v>10.170514203628146</v>
      </c>
      <c r="E37" s="22">
        <f t="shared" ref="E37:E63" si="9">E36+D37</f>
        <v>782.06767347799928</v>
      </c>
      <c r="F37" s="23">
        <f>'00_통제변수'!$F$18+('00_통제변수'!$F$19-'00_통제변수'!$F$18)*MIN(1,MAX(0,(A37-'00_통제변수'!$F$20+1)/MAX(1,'00_통제변수'!$F$21)))</f>
        <v>0.105</v>
      </c>
      <c r="G37" s="22">
        <f t="shared" ref="G37:G63" si="10">E36*F37</f>
        <v>81.049201723808963</v>
      </c>
      <c r="H37" s="22">
        <f t="shared" si="6"/>
        <v>91.219715927437107</v>
      </c>
      <c r="I37" s="24">
        <f>'00_통제변수'!$F$22+('00_통제변수'!$F$23-'00_통제변수'!$F$22)*MIN(1,MAX(0,(A37-'00_통제변수'!$F$24+1)/MAX(1,'00_통제변수'!$F$25)))</f>
        <v>1.2889999999999999</v>
      </c>
      <c r="J37" s="22">
        <f t="shared" si="7"/>
        <v>117.58221383046643</v>
      </c>
      <c r="K37" s="25">
        <f>IF(A37&gt;='00_통제변수'!$F$28,'00_통제변수'!$F$27,'00_통제변수'!$F$26)</f>
        <v>31846</v>
      </c>
      <c r="L37" s="26">
        <f t="shared" si="8"/>
        <v>374.45231816450337</v>
      </c>
      <c r="M37" s="26">
        <f>(L37+S37)/(1-'00_통제변수'!$B$8)*'00_통제변수'!$B$11</f>
        <v>410.95662917324455</v>
      </c>
      <c r="N37" s="26">
        <f>(E37+P37)*('00_통제변수'!$B$9+('00_통제변수'!$B$10-'00_통제변수'!$B$9)*(A37-1)/MAX(1,'00_통제변수'!$B$6-1))</f>
        <v>1732.277954940633</v>
      </c>
      <c r="O37" s="34">
        <f>IF(A37&gt;='00_통제변수'!$B$32,'00_통제변수'!$B$33/10000,0)</f>
        <v>1</v>
      </c>
      <c r="P37" s="35">
        <f t="shared" ref="P37:P63" si="11">P36+O37</f>
        <v>26</v>
      </c>
      <c r="Q37" s="35">
        <f>O37+P36*'00_통제변수'!$B$34</f>
        <v>1.75</v>
      </c>
      <c r="R37" s="35">
        <f>Q37*'00_통제변수'!$B$36</f>
        <v>1.8375000000000001</v>
      </c>
      <c r="S37" s="22">
        <f>R37*'00_통제변수'!$B$35/10000</f>
        <v>11.025000000000002</v>
      </c>
    </row>
    <row r="38" spans="1:19">
      <c r="A38" s="20">
        <v>35</v>
      </c>
      <c r="B38" s="20">
        <v>2029</v>
      </c>
      <c r="C38" s="20">
        <v>11</v>
      </c>
      <c r="D38" s="21">
        <f>'00_통제변수'!$F$16*(1+'00_통제변수'!$F$17)^(A38-1)</f>
        <v>10.119661632610006</v>
      </c>
      <c r="E38" s="22">
        <f t="shared" si="9"/>
        <v>792.1873351106093</v>
      </c>
      <c r="F38" s="23">
        <f>'00_통제변수'!$F$18+('00_통제변수'!$F$19-'00_통제변수'!$F$18)*MIN(1,MAX(0,(A38-'00_통제변수'!$F$20+1)/MAX(1,'00_통제변수'!$F$21)))</f>
        <v>0.105</v>
      </c>
      <c r="G38" s="22">
        <f t="shared" si="10"/>
        <v>82.117105715189922</v>
      </c>
      <c r="H38" s="22">
        <f t="shared" si="6"/>
        <v>92.236767347799926</v>
      </c>
      <c r="I38" s="24">
        <f>'00_통제변수'!$F$22+('00_통제변수'!$F$23-'00_통제변수'!$F$22)*MIN(1,MAX(0,(A38-'00_통제변수'!$F$24+1)/MAX(1,'00_통제변수'!$F$25)))</f>
        <v>1.2889999999999999</v>
      </c>
      <c r="J38" s="22">
        <f t="shared" si="7"/>
        <v>118.8931931113141</v>
      </c>
      <c r="K38" s="25">
        <f>IF(A38&gt;='00_통제변수'!$F$28,'00_통제변수'!$F$27,'00_통제변수'!$F$26)</f>
        <v>31846</v>
      </c>
      <c r="L38" s="26">
        <f t="shared" si="8"/>
        <v>378.62726278229093</v>
      </c>
      <c r="M38" s="26">
        <f>(L38+S38)/(1-'00_통제변수'!$B$8)*'00_통제변수'!$B$11</f>
        <v>415.60902215596047</v>
      </c>
      <c r="N38" s="26">
        <f>(E38+P38)*('00_통제변수'!$B$9+('00_통제변수'!$B$10-'00_통제변수'!$B$9)*(A38-1)/MAX(1,'00_통제변수'!$B$6-1))</f>
        <v>1745.2855597187051</v>
      </c>
      <c r="O38" s="34">
        <f>IF(A38&gt;='00_통제변수'!$B$32,'00_통제변수'!$B$33/10000,0)</f>
        <v>1</v>
      </c>
      <c r="P38" s="35">
        <f t="shared" si="11"/>
        <v>27</v>
      </c>
      <c r="Q38" s="35">
        <f>O38+P37*'00_통제변수'!$B$34</f>
        <v>1.78</v>
      </c>
      <c r="R38" s="35">
        <f>Q38*'00_통제변수'!$B$36</f>
        <v>1.8690000000000002</v>
      </c>
      <c r="S38" s="22">
        <f>R38*'00_통제변수'!$B$35/10000</f>
        <v>11.214000000000002</v>
      </c>
    </row>
    <row r="39" spans="1:19">
      <c r="A39" s="27">
        <v>36</v>
      </c>
      <c r="B39" s="27">
        <v>2029</v>
      </c>
      <c r="C39" s="27">
        <v>12</v>
      </c>
      <c r="D39" s="28">
        <f>'00_통제변수'!$F$16*(1+'00_통제변수'!$F$17)^(A39-1)</f>
        <v>10.069063324446956</v>
      </c>
      <c r="E39" s="29">
        <f t="shared" si="9"/>
        <v>802.25639843505621</v>
      </c>
      <c r="F39" s="30">
        <f>'00_통제변수'!$F$18+('00_통제변수'!$F$19-'00_통제변수'!$F$18)*MIN(1,MAX(0,(A39-'00_통제변수'!$F$20+1)/MAX(1,'00_통제변수'!$F$21)))</f>
        <v>0.105</v>
      </c>
      <c r="G39" s="29">
        <f t="shared" si="10"/>
        <v>83.179670186613976</v>
      </c>
      <c r="H39" s="29">
        <f t="shared" si="6"/>
        <v>93.248733511060934</v>
      </c>
      <c r="I39" s="31">
        <f>'00_통제변수'!$F$22+('00_통제변수'!$F$23-'00_통제변수'!$F$22)*MIN(1,MAX(0,(A39-'00_통제변수'!$F$24+1)/MAX(1,'00_통제변수'!$F$25)))</f>
        <v>1.2889999999999999</v>
      </c>
      <c r="J39" s="29">
        <f t="shared" si="7"/>
        <v>120.19761749575754</v>
      </c>
      <c r="K39" s="32">
        <f>IF(A39&gt;='00_통제변수'!$F$28,'00_통제변수'!$F$27,'00_통제변수'!$F$26)</f>
        <v>31846</v>
      </c>
      <c r="L39" s="33">
        <f t="shared" si="8"/>
        <v>382.78133267698945</v>
      </c>
      <c r="M39" s="33">
        <f>(L39+S39)/(1-'00_통제변수'!$B$8)*'00_통제변수'!$B$11</f>
        <v>420.23916063644936</v>
      </c>
      <c r="N39" s="33">
        <f>(E39+P39)*('00_통제변수'!$B$9+('00_통제변수'!$B$10-'00_통제변수'!$B$9)*(A39-1)/MAX(1,'00_통제변수'!$B$6-1))</f>
        <v>1757.8920219069023</v>
      </c>
      <c r="O39" s="36">
        <f>IF(A39&gt;='00_통제변수'!$B$32,'00_통제변수'!$B$33/10000,0)</f>
        <v>1</v>
      </c>
      <c r="P39" s="37">
        <f t="shared" si="11"/>
        <v>28</v>
      </c>
      <c r="Q39" s="37">
        <f>O39+P38*'00_통제변수'!$B$34</f>
        <v>1.81</v>
      </c>
      <c r="R39" s="37">
        <f>Q39*'00_통제변수'!$B$36</f>
        <v>1.9005000000000001</v>
      </c>
      <c r="S39" s="29">
        <f>R39*'00_통제변수'!$B$35/10000</f>
        <v>11.403</v>
      </c>
    </row>
    <row r="40" spans="1:19">
      <c r="A40" s="20">
        <v>37</v>
      </c>
      <c r="B40" s="20">
        <v>2030</v>
      </c>
      <c r="C40" s="20">
        <v>1</v>
      </c>
      <c r="D40" s="21">
        <f>'00_통제변수'!$F$16*(1+'00_통제변수'!$F$17)^(A40-1)</f>
        <v>10.01871800782472</v>
      </c>
      <c r="E40" s="22">
        <f t="shared" si="9"/>
        <v>812.27511644288097</v>
      </c>
      <c r="F40" s="23">
        <f>'00_통제변수'!$F$18+('00_통제변수'!$F$19-'00_통제변수'!$F$18)*MIN(1,MAX(0,(A40-'00_통제변수'!$F$20+1)/MAX(1,'00_통제변수'!$F$21)))</f>
        <v>0.105</v>
      </c>
      <c r="G40" s="22">
        <f t="shared" si="10"/>
        <v>84.236921835680903</v>
      </c>
      <c r="H40" s="22">
        <f t="shared" si="6"/>
        <v>94.25563984350562</v>
      </c>
      <c r="I40" s="24">
        <f>'00_통제변수'!$F$22+('00_통제변수'!$F$23-'00_통제변수'!$F$22)*MIN(1,MAX(0,(A40-'00_통제변수'!$F$24+1)/MAX(1,'00_통제변수'!$F$25)))</f>
        <v>1.2889999999999999</v>
      </c>
      <c r="J40" s="22">
        <f t="shared" si="7"/>
        <v>121.49551975827873</v>
      </c>
      <c r="K40" s="25">
        <f>IF(A40&gt;='00_통제변수'!$F$28,'00_통제변수'!$F$27,'00_통제변수'!$F$26)</f>
        <v>31846</v>
      </c>
      <c r="L40" s="26">
        <f t="shared" si="8"/>
        <v>386.91463222221444</v>
      </c>
      <c r="M40" s="26">
        <f>(L40+S40)/(1-'00_통제변수'!$B$8)*'00_통제변수'!$B$11</f>
        <v>424.84715588722224</v>
      </c>
      <c r="N40" s="26">
        <f>(E40+P40)*('00_통제변수'!$B$9+('00_통제변수'!$B$10-'00_통제변수'!$B$9)*(A40-1)/MAX(1,'00_통제변수'!$B$6-1))</f>
        <v>1770.0998805969364</v>
      </c>
      <c r="O40" s="34">
        <f>IF(A40&gt;='00_통제변수'!$B$32,'00_통제변수'!$B$33/10000,0)</f>
        <v>1</v>
      </c>
      <c r="P40" s="35">
        <f t="shared" si="11"/>
        <v>29</v>
      </c>
      <c r="Q40" s="35">
        <f>O40+P39*'00_통제변수'!$B$34</f>
        <v>1.8399999999999999</v>
      </c>
      <c r="R40" s="35">
        <f>Q40*'00_통제변수'!$B$36</f>
        <v>1.9319999999999999</v>
      </c>
      <c r="S40" s="22">
        <f>R40*'00_통제변수'!$B$35/10000</f>
        <v>11.592000000000001</v>
      </c>
    </row>
    <row r="41" spans="1:19">
      <c r="A41" s="20">
        <v>38</v>
      </c>
      <c r="B41" s="20">
        <v>2030</v>
      </c>
      <c r="C41" s="20">
        <v>2</v>
      </c>
      <c r="D41" s="21">
        <f>'00_통제변수'!$F$16*(1+'00_통제변수'!$F$17)^(A41-1)</f>
        <v>9.9686244177855983</v>
      </c>
      <c r="E41" s="22">
        <f t="shared" si="9"/>
        <v>822.24374086066655</v>
      </c>
      <c r="F41" s="23">
        <f>'00_통제변수'!$F$18+('00_통제변수'!$F$19-'00_통제변수'!$F$18)*MIN(1,MAX(0,(A41-'00_통제변수'!$F$20+1)/MAX(1,'00_통제변수'!$F$21)))</f>
        <v>0.105</v>
      </c>
      <c r="G41" s="22">
        <f t="shared" si="10"/>
        <v>85.288887226502496</v>
      </c>
      <c r="H41" s="22">
        <f t="shared" si="6"/>
        <v>95.257511644288087</v>
      </c>
      <c r="I41" s="24">
        <f>'00_통제변수'!$F$22+('00_통제변수'!$F$23-'00_통제변수'!$F$22)*MIN(1,MAX(0,(A41-'00_통제변수'!$F$24+1)/MAX(1,'00_통제변수'!$F$25)))</f>
        <v>1.2889999999999999</v>
      </c>
      <c r="J41" s="22">
        <f t="shared" si="7"/>
        <v>122.78693250948734</v>
      </c>
      <c r="K41" s="25">
        <f>IF(A41&gt;='00_통제변수'!$F$28,'00_통제변수'!$F$27,'00_통제변수'!$F$26)</f>
        <v>31846</v>
      </c>
      <c r="L41" s="26">
        <f t="shared" si="8"/>
        <v>391.02726526971338</v>
      </c>
      <c r="M41" s="26">
        <f>(L41+S41)/(1-'00_통제변수'!$B$8)*'00_통제변수'!$B$11</f>
        <v>429.43311862442795</v>
      </c>
      <c r="N41" s="26">
        <f>(E41+P41)*('00_통제변수'!$B$9+('00_통제변수'!$B$10-'00_통제변수'!$B$9)*(A41-1)/MAX(1,'00_통제변수'!$B$6-1))</f>
        <v>1781.9116588571494</v>
      </c>
      <c r="O41" s="34">
        <f>IF(A41&gt;='00_통제변수'!$B$32,'00_통제변수'!$B$33/10000,0)</f>
        <v>1</v>
      </c>
      <c r="P41" s="35">
        <f t="shared" si="11"/>
        <v>30</v>
      </c>
      <c r="Q41" s="35">
        <f>O41+P40*'00_통제변수'!$B$34</f>
        <v>1.87</v>
      </c>
      <c r="R41" s="35">
        <f>Q41*'00_통제변수'!$B$36</f>
        <v>1.9635000000000002</v>
      </c>
      <c r="S41" s="22">
        <f>R41*'00_통제변수'!$B$35/10000</f>
        <v>11.781000000000001</v>
      </c>
    </row>
    <row r="42" spans="1:19">
      <c r="A42" s="20">
        <v>39</v>
      </c>
      <c r="B42" s="20">
        <v>2030</v>
      </c>
      <c r="C42" s="20">
        <v>3</v>
      </c>
      <c r="D42" s="21">
        <f>'00_통제변수'!$F$16*(1+'00_통제변수'!$F$17)^(A42-1)</f>
        <v>9.9187812956966699</v>
      </c>
      <c r="E42" s="22">
        <f t="shared" si="9"/>
        <v>832.16252215636325</v>
      </c>
      <c r="F42" s="23">
        <f>'00_통제변수'!$F$18+('00_통제변수'!$F$19-'00_통제변수'!$F$18)*MIN(1,MAX(0,(A42-'00_통제변수'!$F$20+1)/MAX(1,'00_통제변수'!$F$21)))</f>
        <v>0.105</v>
      </c>
      <c r="G42" s="22">
        <f t="shared" si="10"/>
        <v>86.335592790369986</v>
      </c>
      <c r="H42" s="22">
        <f t="shared" si="6"/>
        <v>96.254374086066662</v>
      </c>
      <c r="I42" s="24">
        <f>'00_통제변수'!$F$22+('00_통제변수'!$F$23-'00_통제변수'!$F$22)*MIN(1,MAX(0,(A42-'00_통제변수'!$F$24+1)/MAX(1,'00_통제변수'!$F$25)))</f>
        <v>1.2889999999999999</v>
      </c>
      <c r="J42" s="22">
        <f t="shared" si="7"/>
        <v>124.07188819693992</v>
      </c>
      <c r="K42" s="25">
        <f>IF(A42&gt;='00_통제변수'!$F$28,'00_통제변수'!$F$27,'00_통제변수'!$F$26)</f>
        <v>31846</v>
      </c>
      <c r="L42" s="26">
        <f t="shared" si="8"/>
        <v>395.11933515197489</v>
      </c>
      <c r="M42" s="26">
        <f>(L42+S42)/(1-'00_통제변수'!$B$8)*'00_통제변수'!$B$11</f>
        <v>433.99715901063428</v>
      </c>
      <c r="N42" s="26">
        <f>(E42+P42)*('00_통제변수'!$B$9+('00_통제변수'!$B$10-'00_통제변수'!$B$9)*(A42-1)/MAX(1,'00_통제변수'!$B$6-1))</f>
        <v>1793.3298638292715</v>
      </c>
      <c r="O42" s="34">
        <f>IF(A42&gt;='00_통제변수'!$B$32,'00_통제변수'!$B$33/10000,0)</f>
        <v>1</v>
      </c>
      <c r="P42" s="35">
        <f t="shared" si="11"/>
        <v>31</v>
      </c>
      <c r="Q42" s="35">
        <f>O42+P41*'00_통제변수'!$B$34</f>
        <v>1.9</v>
      </c>
      <c r="R42" s="35">
        <f>Q42*'00_통제변수'!$B$36</f>
        <v>1.9949999999999999</v>
      </c>
      <c r="S42" s="22">
        <f>R42*'00_통제변수'!$B$35/10000</f>
        <v>11.97</v>
      </c>
    </row>
    <row r="43" spans="1:19">
      <c r="A43" s="20">
        <v>40</v>
      </c>
      <c r="B43" s="20">
        <v>2030</v>
      </c>
      <c r="C43" s="20">
        <v>4</v>
      </c>
      <c r="D43" s="21">
        <f>'00_통제변수'!$F$16*(1+'00_통제변수'!$F$17)^(A43-1)</f>
        <v>9.8691873892181867</v>
      </c>
      <c r="E43" s="22">
        <f t="shared" si="9"/>
        <v>842.03170954558141</v>
      </c>
      <c r="F43" s="23">
        <f>'00_통제변수'!$F$18+('00_통제변수'!$F$19-'00_통제변수'!$F$18)*MIN(1,MAX(0,(A43-'00_통제변수'!$F$20+1)/MAX(1,'00_통제변수'!$F$21)))</f>
        <v>0.105</v>
      </c>
      <c r="G43" s="22">
        <f t="shared" si="10"/>
        <v>87.377064826418135</v>
      </c>
      <c r="H43" s="22">
        <f t="shared" si="6"/>
        <v>97.246252215636318</v>
      </c>
      <c r="I43" s="24">
        <f>'00_통제변수'!$F$22+('00_통제변수'!$F$23-'00_통제변수'!$F$22)*MIN(1,MAX(0,(A43-'00_통제변수'!$F$24+1)/MAX(1,'00_통제변수'!$F$25)))</f>
        <v>1.2889999999999999</v>
      </c>
      <c r="J43" s="22">
        <f t="shared" si="7"/>
        <v>125.35041910595521</v>
      </c>
      <c r="K43" s="25">
        <f>IF(A43&gt;='00_통제변수'!$F$28,'00_통제변수'!$F$27,'00_통제변수'!$F$26)</f>
        <v>31846</v>
      </c>
      <c r="L43" s="26">
        <f t="shared" si="8"/>
        <v>399.19094468482496</v>
      </c>
      <c r="M43" s="26">
        <f>(L43+S43)/(1-'00_통제변수'!$B$8)*'00_통제변수'!$B$11</f>
        <v>438.53938665759591</v>
      </c>
      <c r="N43" s="26">
        <f>(E43+P43)*('00_통제변수'!$B$9+('00_통제변수'!$B$10-'00_통제변수'!$B$9)*(A43-1)/MAX(1,'00_통제변수'!$B$6-1))</f>
        <v>1804.356986824607</v>
      </c>
      <c r="O43" s="34">
        <f>IF(A43&gt;='00_통제변수'!$B$32,'00_통제변수'!$B$33/10000,0)</f>
        <v>1</v>
      </c>
      <c r="P43" s="35">
        <f t="shared" si="11"/>
        <v>32</v>
      </c>
      <c r="Q43" s="35">
        <f>O43+P42*'00_통제변수'!$B$34</f>
        <v>1.93</v>
      </c>
      <c r="R43" s="35">
        <f>Q43*'00_통제변수'!$B$36</f>
        <v>2.0265</v>
      </c>
      <c r="S43" s="22">
        <f>R43*'00_통제변수'!$B$35/10000</f>
        <v>12.159000000000001</v>
      </c>
    </row>
    <row r="44" spans="1:19">
      <c r="A44" s="20">
        <v>41</v>
      </c>
      <c r="B44" s="20">
        <v>2030</v>
      </c>
      <c r="C44" s="20">
        <v>5</v>
      </c>
      <c r="D44" s="21">
        <f>'00_통제변수'!$F$16*(1+'00_통제변수'!$F$17)^(A44-1)</f>
        <v>9.8198414522720956</v>
      </c>
      <c r="E44" s="22">
        <f t="shared" si="9"/>
        <v>851.85155099785345</v>
      </c>
      <c r="F44" s="23">
        <f>'00_통제변수'!$F$18+('00_통제변수'!$F$19-'00_통제변수'!$F$18)*MIN(1,MAX(0,(A44-'00_통제변수'!$F$20+1)/MAX(1,'00_통제변수'!$F$21)))</f>
        <v>0.105</v>
      </c>
      <c r="G44" s="22">
        <f t="shared" si="10"/>
        <v>88.413329502286047</v>
      </c>
      <c r="H44" s="22">
        <f t="shared" si="6"/>
        <v>98.233170954558148</v>
      </c>
      <c r="I44" s="24">
        <f>'00_통제변수'!$F$22+('00_통제변수'!$F$23-'00_통제변수'!$F$22)*MIN(1,MAX(0,(A44-'00_통제변수'!$F$24+1)/MAX(1,'00_통제변수'!$F$25)))</f>
        <v>1.2889999999999999</v>
      </c>
      <c r="J44" s="22">
        <f t="shared" si="7"/>
        <v>126.62255736042545</v>
      </c>
      <c r="K44" s="25">
        <f>IF(A44&gt;='00_통제변수'!$F$28,'00_통제변수'!$F$27,'00_통제변수'!$F$26)</f>
        <v>31846</v>
      </c>
      <c r="L44" s="26">
        <f t="shared" si="8"/>
        <v>403.24219617001086</v>
      </c>
      <c r="M44" s="26">
        <f>(L44+S44)/(1-'00_통제변수'!$B$8)*'00_통제변수'!$B$11</f>
        <v>443.05991062900949</v>
      </c>
      <c r="N44" s="26">
        <f>(E44+P44)*('00_통제변수'!$B$9+('00_통제변수'!$B$10-'00_통제변수'!$B$9)*(A44-1)/MAX(1,'00_통제변수'!$B$6-1))</f>
        <v>1814.9955034196648</v>
      </c>
      <c r="O44" s="34">
        <f>IF(A44&gt;='00_통제변수'!$B$32,'00_통제변수'!$B$33/10000,0)</f>
        <v>1</v>
      </c>
      <c r="P44" s="35">
        <f t="shared" si="11"/>
        <v>33</v>
      </c>
      <c r="Q44" s="35">
        <f>O44+P43*'00_통제변수'!$B$34</f>
        <v>1.96</v>
      </c>
      <c r="R44" s="35">
        <f>Q44*'00_통제변수'!$B$36</f>
        <v>2.0579999999999998</v>
      </c>
      <c r="S44" s="22">
        <f>R44*'00_통제변수'!$B$35/10000</f>
        <v>12.347999999999999</v>
      </c>
    </row>
    <row r="45" spans="1:19">
      <c r="A45" s="20">
        <v>42</v>
      </c>
      <c r="B45" s="20">
        <v>2030</v>
      </c>
      <c r="C45" s="20">
        <v>6</v>
      </c>
      <c r="D45" s="21">
        <f>'00_통제변수'!$F$16*(1+'00_통제변수'!$F$17)^(A45-1)</f>
        <v>9.7707422450107337</v>
      </c>
      <c r="E45" s="22">
        <f t="shared" si="9"/>
        <v>861.6222932428642</v>
      </c>
      <c r="F45" s="23">
        <f>'00_통제변수'!$F$18+('00_통제변수'!$F$19-'00_통제변수'!$F$18)*MIN(1,MAX(0,(A45-'00_통제변수'!$F$20+1)/MAX(1,'00_통제변수'!$F$21)))</f>
        <v>0.105</v>
      </c>
      <c r="G45" s="22">
        <f t="shared" si="10"/>
        <v>89.444412854774612</v>
      </c>
      <c r="H45" s="22">
        <f t="shared" si="6"/>
        <v>99.215155099785349</v>
      </c>
      <c r="I45" s="24">
        <f>'00_통제변수'!$F$22+('00_통제변수'!$F$23-'00_통제변수'!$F$22)*MIN(1,MAX(0,(A45-'00_통제변수'!$F$24+1)/MAX(1,'00_통제변수'!$F$25)))</f>
        <v>1.2889999999999999</v>
      </c>
      <c r="J45" s="22">
        <f t="shared" si="7"/>
        <v>127.8883349236233</v>
      </c>
      <c r="K45" s="25">
        <f>IF(A45&gt;='00_통제변수'!$F$28,'00_통제변수'!$F$27,'00_통제변수'!$F$26)</f>
        <v>31846</v>
      </c>
      <c r="L45" s="26">
        <f t="shared" si="8"/>
        <v>407.2731913977708</v>
      </c>
      <c r="M45" s="26">
        <f>(L45+S45)/(1-'00_통제변수'!$B$8)*'00_통제변수'!$B$11</f>
        <v>447.55883944325245</v>
      </c>
      <c r="N45" s="26">
        <f>(E45+P45)*('00_통제변수'!$B$9+('00_통제변수'!$B$10-'00_통제변수'!$B$9)*(A45-1)/MAX(1,'00_통제변수'!$B$6-1))</f>
        <v>1825.2478735512204</v>
      </c>
      <c r="O45" s="34">
        <f>IF(A45&gt;='00_통제변수'!$B$32,'00_통제변수'!$B$33/10000,0)</f>
        <v>1</v>
      </c>
      <c r="P45" s="35">
        <f t="shared" si="11"/>
        <v>34</v>
      </c>
      <c r="Q45" s="35">
        <f>O45+P44*'00_통제변수'!$B$34</f>
        <v>1.99</v>
      </c>
      <c r="R45" s="35">
        <f>Q45*'00_통제변수'!$B$36</f>
        <v>2.0895000000000001</v>
      </c>
      <c r="S45" s="22">
        <f>R45*'00_통제변수'!$B$35/10000</f>
        <v>12.537000000000001</v>
      </c>
    </row>
    <row r="46" spans="1:19">
      <c r="A46" s="20">
        <v>43</v>
      </c>
      <c r="B46" s="20">
        <v>2030</v>
      </c>
      <c r="C46" s="20">
        <v>7</v>
      </c>
      <c r="D46" s="21">
        <f>'00_통제변수'!$F$16*(1+'00_통제변수'!$F$17)^(A46-1)</f>
        <v>9.7218885337856822</v>
      </c>
      <c r="E46" s="22">
        <f t="shared" si="9"/>
        <v>871.34418177664986</v>
      </c>
      <c r="F46" s="23">
        <f>'00_통제변수'!$F$18+('00_통제변수'!$F$19-'00_통제변수'!$F$18)*MIN(1,MAX(0,(A46-'00_통제변수'!$F$20+1)/MAX(1,'00_통제변수'!$F$21)))</f>
        <v>0.105</v>
      </c>
      <c r="G46" s="22">
        <f t="shared" si="10"/>
        <v>90.470340790500742</v>
      </c>
      <c r="H46" s="22">
        <f t="shared" si="6"/>
        <v>100.19222932428643</v>
      </c>
      <c r="I46" s="24">
        <f>'00_통제변수'!$F$22+('00_통제변수'!$F$23-'00_통제변수'!$F$22)*MIN(1,MAX(0,(A46-'00_통제변수'!$F$24+1)/MAX(1,'00_통제변수'!$F$25)))</f>
        <v>1.2889999999999999</v>
      </c>
      <c r="J46" s="22">
        <f t="shared" si="7"/>
        <v>129.14778359900521</v>
      </c>
      <c r="K46" s="25">
        <f>IF(A46&gt;='00_통제변수'!$F$28,'00_통제변수'!$F$27,'00_통제변수'!$F$26)</f>
        <v>31846</v>
      </c>
      <c r="L46" s="26">
        <f t="shared" si="8"/>
        <v>411.28403164939198</v>
      </c>
      <c r="M46" s="26">
        <f>(L46+S46)/(1-'00_통제변수'!$B$8)*'00_통제변수'!$B$11</f>
        <v>452.03628107611087</v>
      </c>
      <c r="N46" s="26">
        <f>(E46+P46)*('00_통제변수'!$B$9+('00_통제변수'!$B$10-'00_통제변수'!$B$9)*(A46-1)/MAX(1,'00_통제변수'!$B$6-1))</f>
        <v>1835.1165416108238</v>
      </c>
      <c r="O46" s="34">
        <f>IF(A46&gt;='00_통제변수'!$B$32,'00_통제변수'!$B$33/10000,0)</f>
        <v>1</v>
      </c>
      <c r="P46" s="35">
        <f t="shared" si="11"/>
        <v>35</v>
      </c>
      <c r="Q46" s="35">
        <f>O46+P45*'00_통제변수'!$B$34</f>
        <v>2.02</v>
      </c>
      <c r="R46" s="35">
        <f>Q46*'00_통제변수'!$B$36</f>
        <v>2.121</v>
      </c>
      <c r="S46" s="22">
        <f>R46*'00_통제변수'!$B$35/10000</f>
        <v>12.726000000000001</v>
      </c>
    </row>
    <row r="47" spans="1:19">
      <c r="A47" s="20">
        <v>44</v>
      </c>
      <c r="B47" s="20">
        <v>2030</v>
      </c>
      <c r="C47" s="20">
        <v>8</v>
      </c>
      <c r="D47" s="21">
        <f>'00_통제변수'!$F$16*(1+'00_통제변수'!$F$17)^(A47-1)</f>
        <v>9.6732790911167523</v>
      </c>
      <c r="E47" s="22">
        <f t="shared" si="9"/>
        <v>881.01746086776666</v>
      </c>
      <c r="F47" s="23">
        <f>'00_통제변수'!$F$18+('00_통제변수'!$F$19-'00_통제변수'!$F$18)*MIN(1,MAX(0,(A47-'00_통제변수'!$F$20+1)/MAX(1,'00_통제변수'!$F$21)))</f>
        <v>0.105</v>
      </c>
      <c r="G47" s="22">
        <f t="shared" si="10"/>
        <v>91.49113908654823</v>
      </c>
      <c r="H47" s="22">
        <f t="shared" si="6"/>
        <v>101.16441817766498</v>
      </c>
      <c r="I47" s="24">
        <f>'00_통제변수'!$F$22+('00_통제변수'!$F$23-'00_통제변수'!$F$22)*MIN(1,MAX(0,(A47-'00_통제변수'!$F$24+1)/MAX(1,'00_통제변수'!$F$25)))</f>
        <v>1.2889999999999999</v>
      </c>
      <c r="J47" s="22">
        <f t="shared" si="7"/>
        <v>130.40093503101016</v>
      </c>
      <c r="K47" s="25">
        <f>IF(A47&gt;='00_통제변수'!$F$28,'00_통제변수'!$F$27,'00_통제변수'!$F$26)</f>
        <v>31846</v>
      </c>
      <c r="L47" s="26">
        <f t="shared" si="8"/>
        <v>415.27481769975498</v>
      </c>
      <c r="M47" s="26">
        <f>(L47+S47)/(1-'00_통제변수'!$B$8)*'00_통제변수'!$B$11</f>
        <v>456.49234296349147</v>
      </c>
      <c r="N47" s="26">
        <f>(E47+P47)*('00_통제변수'!$B$9+('00_통제변수'!$B$10-'00_통제변수'!$B$9)*(A47-1)/MAX(1,'00_통제변수'!$B$6-1))</f>
        <v>1844.6039365387551</v>
      </c>
      <c r="O47" s="34">
        <f>IF(A47&gt;='00_통제변수'!$B$32,'00_통제변수'!$B$33/10000,0)</f>
        <v>1</v>
      </c>
      <c r="P47" s="35">
        <f t="shared" si="11"/>
        <v>36</v>
      </c>
      <c r="Q47" s="35">
        <f>O47+P46*'00_통제변수'!$B$34</f>
        <v>2.0499999999999998</v>
      </c>
      <c r="R47" s="35">
        <f>Q47*'00_통제변수'!$B$36</f>
        <v>2.1524999999999999</v>
      </c>
      <c r="S47" s="22">
        <f>R47*'00_통제변수'!$B$35/10000</f>
        <v>12.914999999999999</v>
      </c>
    </row>
    <row r="48" spans="1:19">
      <c r="A48" s="20">
        <v>45</v>
      </c>
      <c r="B48" s="20">
        <v>2030</v>
      </c>
      <c r="C48" s="20">
        <v>9</v>
      </c>
      <c r="D48" s="21">
        <f>'00_통제변수'!$F$16*(1+'00_통제변수'!$F$17)^(A48-1)</f>
        <v>9.6249126956611697</v>
      </c>
      <c r="E48" s="22">
        <f t="shared" si="9"/>
        <v>890.64237356342778</v>
      </c>
      <c r="F48" s="23">
        <f>'00_통제변수'!$F$18+('00_통제변수'!$F$19-'00_통제변수'!$F$18)*MIN(1,MAX(0,(A48-'00_통제변수'!$F$20+1)/MAX(1,'00_통제변수'!$F$21)))</f>
        <v>0.105</v>
      </c>
      <c r="G48" s="22">
        <f t="shared" si="10"/>
        <v>92.506833391115492</v>
      </c>
      <c r="H48" s="22">
        <f t="shared" si="6"/>
        <v>102.13174608677666</v>
      </c>
      <c r="I48" s="24">
        <f>'00_통제변수'!$F$22+('00_통제변수'!$F$23-'00_통제변수'!$F$22)*MIN(1,MAX(0,(A48-'00_통제변수'!$F$24+1)/MAX(1,'00_통제변수'!$F$25)))</f>
        <v>1.2889999999999999</v>
      </c>
      <c r="J48" s="22">
        <f t="shared" si="7"/>
        <v>131.64782070585511</v>
      </c>
      <c r="K48" s="25">
        <f>IF(A48&gt;='00_통제변수'!$F$28,'00_통제변수'!$F$27,'00_통제변수'!$F$26)</f>
        <v>31846</v>
      </c>
      <c r="L48" s="26">
        <f t="shared" si="8"/>
        <v>419.24564981986617</v>
      </c>
      <c r="M48" s="26">
        <f>(L48+S48)/(1-'00_통제변수'!$B$8)*'00_통제변수'!$B$11</f>
        <v>460.92713200412175</v>
      </c>
      <c r="N48" s="26">
        <f>(E48+P48)*('00_통제변수'!$B$9+('00_통제변수'!$B$10-'00_통제변수'!$B$9)*(A48-1)/MAX(1,'00_통제변수'!$B$6-1))</f>
        <v>1853.712471917426</v>
      </c>
      <c r="O48" s="34">
        <f>IF(A48&gt;='00_통제변수'!$B$32,'00_통제변수'!$B$33/10000,0)</f>
        <v>1</v>
      </c>
      <c r="P48" s="35">
        <f t="shared" si="11"/>
        <v>37</v>
      </c>
      <c r="Q48" s="35">
        <f>O48+P47*'00_통제변수'!$B$34</f>
        <v>2.08</v>
      </c>
      <c r="R48" s="35">
        <f>Q48*'00_통제변수'!$B$36</f>
        <v>2.1840000000000002</v>
      </c>
      <c r="S48" s="22">
        <f>R48*'00_통제변수'!$B$35/10000</f>
        <v>13.104000000000001</v>
      </c>
    </row>
    <row r="49" spans="1:19">
      <c r="A49" s="20">
        <v>46</v>
      </c>
      <c r="B49" s="20">
        <v>2030</v>
      </c>
      <c r="C49" s="20">
        <v>10</v>
      </c>
      <c r="D49" s="21">
        <f>'00_통제변수'!$F$16*(1+'00_통제변수'!$F$17)^(A49-1)</f>
        <v>9.5767881321828643</v>
      </c>
      <c r="E49" s="22">
        <f t="shared" si="9"/>
        <v>900.21916169561064</v>
      </c>
      <c r="F49" s="23">
        <f>'00_통제변수'!$F$18+('00_통제변수'!$F$19-'00_통제변수'!$F$18)*MIN(1,MAX(0,(A49-'00_통제변수'!$F$20+1)/MAX(1,'00_통제변수'!$F$21)))</f>
        <v>0.105</v>
      </c>
      <c r="G49" s="22">
        <f t="shared" si="10"/>
        <v>93.517449224159918</v>
      </c>
      <c r="H49" s="22">
        <f t="shared" si="6"/>
        <v>103.09423735634279</v>
      </c>
      <c r="I49" s="24">
        <f>'00_통제변수'!$F$22+('00_통제변수'!$F$23-'00_통제변수'!$F$22)*MIN(1,MAX(0,(A49-'00_통제변수'!$F$24+1)/MAX(1,'00_통제변수'!$F$25)))</f>
        <v>1.2889999999999999</v>
      </c>
      <c r="J49" s="22">
        <f t="shared" si="7"/>
        <v>132.88847195232586</v>
      </c>
      <c r="K49" s="25">
        <f>IF(A49&gt;='00_통제변수'!$F$28,'00_통제변수'!$F$27,'00_통제변수'!$F$26)</f>
        <v>31846</v>
      </c>
      <c r="L49" s="26">
        <f t="shared" si="8"/>
        <v>423.19662777937697</v>
      </c>
      <c r="M49" s="26">
        <f>(L49+S49)/(1-'00_통제변수'!$B$8)*'00_통제변수'!$B$11</f>
        <v>465.34075456223559</v>
      </c>
      <c r="N49" s="26">
        <f>(E49+P49)*('00_통제변수'!$B$9+('00_통제변수'!$B$10-'00_통제변수'!$B$9)*(A49-1)/MAX(1,'00_통제변수'!$B$6-1))</f>
        <v>1862.444546064236</v>
      </c>
      <c r="O49" s="34">
        <f>IF(A49&gt;='00_통제변수'!$B$32,'00_통제변수'!$B$33/10000,0)</f>
        <v>1</v>
      </c>
      <c r="P49" s="35">
        <f t="shared" si="11"/>
        <v>38</v>
      </c>
      <c r="Q49" s="35">
        <f>O49+P48*'00_통제변수'!$B$34</f>
        <v>2.11</v>
      </c>
      <c r="R49" s="35">
        <f>Q49*'00_통제변수'!$B$36</f>
        <v>2.2155</v>
      </c>
      <c r="S49" s="22">
        <f>R49*'00_통제변수'!$B$35/10000</f>
        <v>13.292999999999999</v>
      </c>
    </row>
    <row r="50" spans="1:19">
      <c r="A50" s="20">
        <v>47</v>
      </c>
      <c r="B50" s="20">
        <v>2030</v>
      </c>
      <c r="C50" s="20">
        <v>11</v>
      </c>
      <c r="D50" s="21">
        <f>'00_통제변수'!$F$16*(1+'00_통제변수'!$F$17)^(A50-1)</f>
        <v>9.528904191521951</v>
      </c>
      <c r="E50" s="22">
        <f t="shared" si="9"/>
        <v>909.74806588713261</v>
      </c>
      <c r="F50" s="23">
        <f>'00_통제변수'!$F$18+('00_통제변수'!$F$19-'00_통제변수'!$F$18)*MIN(1,MAX(0,(A50-'00_통제변수'!$F$20+1)/MAX(1,'00_통제변수'!$F$21)))</f>
        <v>0.105</v>
      </c>
      <c r="G50" s="22">
        <f t="shared" si="10"/>
        <v>94.523011978039108</v>
      </c>
      <c r="H50" s="22">
        <f t="shared" si="6"/>
        <v>104.05191616956105</v>
      </c>
      <c r="I50" s="24">
        <f>'00_통제변수'!$F$22+('00_통제변수'!$F$23-'00_통제변수'!$F$22)*MIN(1,MAX(0,(A50-'00_통제변수'!$F$24+1)/MAX(1,'00_통제변수'!$F$25)))</f>
        <v>1.2889999999999999</v>
      </c>
      <c r="J50" s="22">
        <f t="shared" si="7"/>
        <v>134.12291994256418</v>
      </c>
      <c r="K50" s="25">
        <f>IF(A50&gt;='00_통제변수'!$F$28,'00_통제변수'!$F$27,'00_통제변수'!$F$26)</f>
        <v>31846</v>
      </c>
      <c r="L50" s="26">
        <f t="shared" si="8"/>
        <v>427.12785084908984</v>
      </c>
      <c r="M50" s="26">
        <f>(L50+S50)/(1-'00_통제변수'!$B$8)*'00_통제변수'!$B$11</f>
        <v>469.73331647024509</v>
      </c>
      <c r="N50" s="26">
        <f>(E50+P50)*('00_통제변수'!$B$9+('00_통제변수'!$B$10-'00_통제변수'!$B$9)*(A50-1)/MAX(1,'00_통제변수'!$B$6-1))</f>
        <v>1870.8025421238815</v>
      </c>
      <c r="O50" s="34">
        <f>IF(A50&gt;='00_통제변수'!$B$32,'00_통제변수'!$B$33/10000,0)</f>
        <v>1</v>
      </c>
      <c r="P50" s="35">
        <f t="shared" si="11"/>
        <v>39</v>
      </c>
      <c r="Q50" s="35">
        <f>O50+P49*'00_통제변수'!$B$34</f>
        <v>2.1399999999999997</v>
      </c>
      <c r="R50" s="35">
        <f>Q50*'00_통제변수'!$B$36</f>
        <v>2.2469999999999999</v>
      </c>
      <c r="S50" s="22">
        <f>R50*'00_통제변수'!$B$35/10000</f>
        <v>13.481999999999999</v>
      </c>
    </row>
    <row r="51" spans="1:19">
      <c r="A51" s="27">
        <v>48</v>
      </c>
      <c r="B51" s="27">
        <v>2030</v>
      </c>
      <c r="C51" s="27">
        <v>12</v>
      </c>
      <c r="D51" s="28">
        <f>'00_통제변수'!$F$16*(1+'00_통제변수'!$F$17)^(A51-1)</f>
        <v>9.4812596705643415</v>
      </c>
      <c r="E51" s="29">
        <f t="shared" si="9"/>
        <v>919.22932555769694</v>
      </c>
      <c r="F51" s="30">
        <f>'00_통제변수'!$F$18+('00_통제변수'!$F$19-'00_통제변수'!$F$18)*MIN(1,MAX(0,(A51-'00_통제변수'!$F$20+1)/MAX(1,'00_통제변수'!$F$21)))</f>
        <v>0.105</v>
      </c>
      <c r="G51" s="29">
        <f t="shared" si="10"/>
        <v>95.523546918148924</v>
      </c>
      <c r="H51" s="29">
        <f t="shared" si="6"/>
        <v>105.00480658871327</v>
      </c>
      <c r="I51" s="31">
        <f>'00_통제변수'!$F$22+('00_통제변수'!$F$23-'00_통제변수'!$F$22)*MIN(1,MAX(0,(A51-'00_통제변수'!$F$24+1)/MAX(1,'00_통제변수'!$F$25)))</f>
        <v>1.2889999999999999</v>
      </c>
      <c r="J51" s="29">
        <f t="shared" si="7"/>
        <v>135.35119569285138</v>
      </c>
      <c r="K51" s="32">
        <f>IF(A51&gt;='00_통제변수'!$F$28,'00_통제변수'!$F$27,'00_통제변수'!$F$26)</f>
        <v>31846</v>
      </c>
      <c r="L51" s="33">
        <f t="shared" si="8"/>
        <v>431.03941780345451</v>
      </c>
      <c r="M51" s="33">
        <f>(L51+S51)/(1-'00_통제변수'!$B$8)*'00_통제변수'!$B$11</f>
        <v>474.10492303140143</v>
      </c>
      <c r="N51" s="33">
        <f>(E51+P51)*('00_통제변수'!$B$9+('00_통제변수'!$B$10-'00_통제변수'!$B$9)*(A51-1)/MAX(1,'00_통제변수'!$B$6-1))</f>
        <v>1878.7888281601263</v>
      </c>
      <c r="O51" s="36">
        <f>IF(A51&gt;='00_통제변수'!$B$32,'00_통제변수'!$B$33/10000,0)</f>
        <v>1</v>
      </c>
      <c r="P51" s="37">
        <f t="shared" si="11"/>
        <v>40</v>
      </c>
      <c r="Q51" s="37">
        <f>O51+P50*'00_통제변수'!$B$34</f>
        <v>2.17</v>
      </c>
      <c r="R51" s="37">
        <f>Q51*'00_통제변수'!$B$36</f>
        <v>2.2785000000000002</v>
      </c>
      <c r="S51" s="29">
        <f>R51*'00_통제변수'!$B$35/10000</f>
        <v>13.670999999999999</v>
      </c>
    </row>
    <row r="52" spans="1:19">
      <c r="A52" s="20">
        <v>49</v>
      </c>
      <c r="B52" s="20">
        <v>2031</v>
      </c>
      <c r="C52" s="20">
        <v>1</v>
      </c>
      <c r="D52" s="21">
        <f>'00_통제변수'!$F$16*(1+'00_통제변수'!$F$17)^(A52-1)</f>
        <v>9.4338533722115194</v>
      </c>
      <c r="E52" s="22">
        <f t="shared" si="9"/>
        <v>928.66317892990844</v>
      </c>
      <c r="F52" s="23">
        <f>'00_통제변수'!$F$18+('00_통제변수'!$F$19-'00_통제변수'!$F$18)*MIN(1,MAX(0,(A52-'00_통제변수'!$F$20+1)/MAX(1,'00_통제변수'!$F$21)))</f>
        <v>0.105</v>
      </c>
      <c r="G52" s="22">
        <f t="shared" si="10"/>
        <v>96.519079183558176</v>
      </c>
      <c r="H52" s="22">
        <f t="shared" si="6"/>
        <v>105.95293255576969</v>
      </c>
      <c r="I52" s="24">
        <f>'00_통제변수'!$F$22+('00_통제변수'!$F$23-'00_통제변수'!$F$22)*MIN(1,MAX(0,(A52-'00_통제변수'!$F$24+1)/MAX(1,'00_통제변수'!$F$25)))</f>
        <v>1.2889999999999999</v>
      </c>
      <c r="J52" s="22">
        <f t="shared" si="7"/>
        <v>136.57333006438714</v>
      </c>
      <c r="K52" s="25">
        <f>IF(A52&gt;='00_통제변수'!$F$28,'00_통제변수'!$F$27,'00_통제변수'!$F$26)</f>
        <v>31846</v>
      </c>
      <c r="L52" s="26">
        <f t="shared" si="8"/>
        <v>434.9314269230473</v>
      </c>
      <c r="M52" s="26">
        <f>(L52+S52)/(1-'00_통제변수'!$B$8)*'00_통제변수'!$B$11</f>
        <v>478.45567902243852</v>
      </c>
      <c r="N52" s="26">
        <f>(E52+P52)*('00_통제변수'!$B$9+('00_통제변수'!$B$10-'00_통제변수'!$B$9)*(A52-1)/MAX(1,'00_통제변수'!$B$6-1))</f>
        <v>1886.4057572470322</v>
      </c>
      <c r="O52" s="34">
        <f>IF(A52&gt;='00_통제변수'!$B$32,'00_통제변수'!$B$33/10000,0)</f>
        <v>1</v>
      </c>
      <c r="P52" s="35">
        <f t="shared" si="11"/>
        <v>41</v>
      </c>
      <c r="Q52" s="35">
        <f>O52+P51*'00_통제변수'!$B$34</f>
        <v>2.2000000000000002</v>
      </c>
      <c r="R52" s="35">
        <f>Q52*'00_통제변수'!$B$36</f>
        <v>2.3100000000000005</v>
      </c>
      <c r="S52" s="22">
        <f>R52*'00_통제변수'!$B$35/10000</f>
        <v>13.860000000000003</v>
      </c>
    </row>
    <row r="53" spans="1:19">
      <c r="A53" s="20">
        <v>50</v>
      </c>
      <c r="B53" s="20">
        <v>2031</v>
      </c>
      <c r="C53" s="20">
        <v>2</v>
      </c>
      <c r="D53" s="21">
        <f>'00_통제변수'!$F$16*(1+'00_통제변수'!$F$17)^(A53-1)</f>
        <v>9.3866841053504597</v>
      </c>
      <c r="E53" s="22">
        <f t="shared" si="9"/>
        <v>938.04986303525891</v>
      </c>
      <c r="F53" s="23">
        <f>'00_통제변수'!$F$18+('00_통제변수'!$F$19-'00_통제변수'!$F$18)*MIN(1,MAX(0,(A53-'00_통제변수'!$F$20+1)/MAX(1,'00_통제변수'!$F$21)))</f>
        <v>0.105</v>
      </c>
      <c r="G53" s="22">
        <f t="shared" si="10"/>
        <v>97.509633787640382</v>
      </c>
      <c r="H53" s="22">
        <f t="shared" si="6"/>
        <v>106.89631789299084</v>
      </c>
      <c r="I53" s="24">
        <f>'00_통제변수'!$F$22+('00_통제변수'!$F$23-'00_통제변수'!$F$22)*MIN(1,MAX(0,(A53-'00_통제변수'!$F$24+1)/MAX(1,'00_통제변수'!$F$25)))</f>
        <v>1.2889999999999999</v>
      </c>
      <c r="J53" s="22">
        <f t="shared" si="7"/>
        <v>137.78935376406517</v>
      </c>
      <c r="K53" s="25">
        <f>IF(A53&gt;='00_통제변수'!$F$28,'00_통제변수'!$F$27,'00_통제변수'!$F$26)</f>
        <v>31846</v>
      </c>
      <c r="L53" s="26">
        <f t="shared" si="8"/>
        <v>438.8039759970419</v>
      </c>
      <c r="M53" s="26">
        <f>(L53+S53)/(1-'00_통제변수'!$B$8)*'00_통제변수'!$B$11</f>
        <v>482.78568869620671</v>
      </c>
      <c r="N53" s="26">
        <f>(E53+P53)*('00_통제변수'!$B$9+('00_통제변수'!$B$10-'00_통제변수'!$B$9)*(A53-1)/MAX(1,'00_통제변수'!$B$6-1))</f>
        <v>1893.655667559653</v>
      </c>
      <c r="O53" s="34">
        <f>IF(A53&gt;='00_통제변수'!$B$32,'00_통제변수'!$B$33/10000,0)</f>
        <v>1</v>
      </c>
      <c r="P53" s="35">
        <f t="shared" si="11"/>
        <v>42</v>
      </c>
      <c r="Q53" s="35">
        <f>O53+P52*'00_통제변수'!$B$34</f>
        <v>2.23</v>
      </c>
      <c r="R53" s="35">
        <f>Q53*'00_통제변수'!$B$36</f>
        <v>2.3414999999999999</v>
      </c>
      <c r="S53" s="22">
        <f>R53*'00_통제변수'!$B$35/10000</f>
        <v>14.048999999999999</v>
      </c>
    </row>
    <row r="54" spans="1:19">
      <c r="A54" s="20">
        <v>51</v>
      </c>
      <c r="B54" s="20">
        <v>2031</v>
      </c>
      <c r="C54" s="20">
        <v>3</v>
      </c>
      <c r="D54" s="21">
        <f>'00_통제변수'!$F$16*(1+'00_통제변수'!$F$17)^(A54-1)</f>
        <v>9.3397506848237075</v>
      </c>
      <c r="E54" s="22">
        <f t="shared" si="9"/>
        <v>947.38961372008259</v>
      </c>
      <c r="F54" s="23">
        <f>'00_통제변수'!$F$18+('00_통제변수'!$F$19-'00_통제변수'!$F$18)*MIN(1,MAX(0,(A54-'00_통제변수'!$F$20+1)/MAX(1,'00_통제변수'!$F$21)))</f>
        <v>0.105</v>
      </c>
      <c r="G54" s="22">
        <f t="shared" si="10"/>
        <v>98.495235618702182</v>
      </c>
      <c r="H54" s="22">
        <f t="shared" si="6"/>
        <v>107.83498630352589</v>
      </c>
      <c r="I54" s="24">
        <f>'00_통제변수'!$F$22+('00_통제변수'!$F$23-'00_통제변수'!$F$22)*MIN(1,MAX(0,(A54-'00_통제변수'!$F$24+1)/MAX(1,'00_통제변수'!$F$25)))</f>
        <v>1.2889999999999999</v>
      </c>
      <c r="J54" s="22">
        <f t="shared" si="7"/>
        <v>138.99929734524488</v>
      </c>
      <c r="K54" s="25">
        <f>IF(A54&gt;='00_통제변수'!$F$28,'00_통제변수'!$F$27,'00_통제변수'!$F$26)</f>
        <v>31846</v>
      </c>
      <c r="L54" s="26">
        <f t="shared" si="8"/>
        <v>442.65716232566683</v>
      </c>
      <c r="M54" s="26">
        <f>(L54+S54)/(1-'00_통제변수'!$B$8)*'00_통제변수'!$B$11</f>
        <v>487.09505578429304</v>
      </c>
      <c r="N54" s="26">
        <f>(E54+P54)*('00_통제변수'!$B$9+('00_통제변수'!$B$10-'00_통제변수'!$B$9)*(A54-1)/MAX(1,'00_통제변수'!$B$6-1))</f>
        <v>1900.5408824641993</v>
      </c>
      <c r="O54" s="34">
        <f>IF(A54&gt;='00_통제변수'!$B$32,'00_통제변수'!$B$33/10000,0)</f>
        <v>1</v>
      </c>
      <c r="P54" s="35">
        <f t="shared" si="11"/>
        <v>43</v>
      </c>
      <c r="Q54" s="35">
        <f>O54+P53*'00_통제변수'!$B$34</f>
        <v>2.2599999999999998</v>
      </c>
      <c r="R54" s="35">
        <f>Q54*'00_통제변수'!$B$36</f>
        <v>2.3729999999999998</v>
      </c>
      <c r="S54" s="22">
        <f>R54*'00_통제변수'!$B$35/10000</f>
        <v>14.238</v>
      </c>
    </row>
    <row r="55" spans="1:19">
      <c r="A55" s="20">
        <v>52</v>
      </c>
      <c r="B55" s="20">
        <v>2031</v>
      </c>
      <c r="C55" s="20">
        <v>4</v>
      </c>
      <c r="D55" s="21">
        <f>'00_통제변수'!$F$16*(1+'00_통제변수'!$F$17)^(A55-1)</f>
        <v>9.2930519313995887</v>
      </c>
      <c r="E55" s="22">
        <f t="shared" si="9"/>
        <v>956.68266565148224</v>
      </c>
      <c r="F55" s="23">
        <f>'00_통제변수'!$F$18+('00_통제변수'!$F$19-'00_통제변수'!$F$18)*MIN(1,MAX(0,(A55-'00_통제변수'!$F$20+1)/MAX(1,'00_통제변수'!$F$21)))</f>
        <v>0.105</v>
      </c>
      <c r="G55" s="22">
        <f t="shared" si="10"/>
        <v>99.475909440608675</v>
      </c>
      <c r="H55" s="22">
        <f t="shared" si="6"/>
        <v>108.76896137200826</v>
      </c>
      <c r="I55" s="24">
        <f>'00_통제변수'!$F$22+('00_통제변수'!$F$23-'00_통제변수'!$F$22)*MIN(1,MAX(0,(A55-'00_통제변수'!$F$24+1)/MAX(1,'00_통제변수'!$F$25)))</f>
        <v>1.2889999999999999</v>
      </c>
      <c r="J55" s="22">
        <f t="shared" si="7"/>
        <v>140.20319120851863</v>
      </c>
      <c r="K55" s="25">
        <f>IF(A55&gt;='00_통제변수'!$F$28,'00_통제변수'!$F$27,'00_통제변수'!$F$26)</f>
        <v>31846</v>
      </c>
      <c r="L55" s="26">
        <f t="shared" si="8"/>
        <v>446.4910827226484</v>
      </c>
      <c r="M55" s="26">
        <f>(L55+S55)/(1-'00_통제변수'!$B$8)*'00_통제변수'!$B$11</f>
        <v>491.3838834996252</v>
      </c>
      <c r="N55" s="26">
        <f>(E55+P55)*('00_통제변수'!$B$9+('00_통제변수'!$B$10-'00_통제변수'!$B$9)*(A55-1)/MAX(1,'00_통제변수'!$B$6-1))</f>
        <v>1907.0637106076722</v>
      </c>
      <c r="O55" s="34">
        <f>IF(A55&gt;='00_통제변수'!$B$32,'00_통제변수'!$B$33/10000,0)</f>
        <v>1</v>
      </c>
      <c r="P55" s="35">
        <f t="shared" si="11"/>
        <v>44</v>
      </c>
      <c r="Q55" s="35">
        <f>O55+P54*'00_통제변수'!$B$34</f>
        <v>2.29</v>
      </c>
      <c r="R55" s="35">
        <f>Q55*'00_통제변수'!$B$36</f>
        <v>2.4045000000000001</v>
      </c>
      <c r="S55" s="22">
        <f>R55*'00_통제변수'!$B$35/10000</f>
        <v>14.427</v>
      </c>
    </row>
    <row r="56" spans="1:19">
      <c r="A56" s="20">
        <v>53</v>
      </c>
      <c r="B56" s="20">
        <v>2031</v>
      </c>
      <c r="C56" s="20">
        <v>5</v>
      </c>
      <c r="D56" s="21">
        <f>'00_통제변수'!$F$16*(1+'00_통제변수'!$F$17)^(A56-1)</f>
        <v>9.2465866717425929</v>
      </c>
      <c r="E56" s="22">
        <f t="shared" si="9"/>
        <v>965.92925232322489</v>
      </c>
      <c r="F56" s="23">
        <f>'00_통제변수'!$F$18+('00_통제변수'!$F$19-'00_통제변수'!$F$18)*MIN(1,MAX(0,(A56-'00_통제변수'!$F$20+1)/MAX(1,'00_통제변수'!$F$21)))</f>
        <v>0.105</v>
      </c>
      <c r="G56" s="22">
        <f t="shared" si="10"/>
        <v>100.45167989340563</v>
      </c>
      <c r="H56" s="22">
        <f t="shared" si="6"/>
        <v>109.69826656514822</v>
      </c>
      <c r="I56" s="24">
        <f>'00_통제변수'!$F$22+('00_통제변수'!$F$23-'00_통제변수'!$F$22)*MIN(1,MAX(0,(A56-'00_통제변수'!$F$24+1)/MAX(1,'00_통제변수'!$F$25)))</f>
        <v>1.2889999999999999</v>
      </c>
      <c r="J56" s="22">
        <f t="shared" si="7"/>
        <v>141.40106560247605</v>
      </c>
      <c r="K56" s="25">
        <f>IF(A56&gt;='00_통제변수'!$F$28,'00_통제변수'!$F$27,'00_통제변수'!$F$26)</f>
        <v>31846</v>
      </c>
      <c r="L56" s="26">
        <f t="shared" si="8"/>
        <v>450.30583351764523</v>
      </c>
      <c r="M56" s="26">
        <f>(L56+S56)/(1-'00_통제변수'!$B$8)*'00_통제변수'!$B$11</f>
        <v>495.65227453906743</v>
      </c>
      <c r="N56" s="26">
        <f>(E56+P56)*('00_통제변수'!$B$9+('00_통제변수'!$B$10-'00_통제변수'!$B$9)*(A56-1)/MAX(1,'00_통제변수'!$B$6-1))</f>
        <v>1913.2264460069712</v>
      </c>
      <c r="O56" s="34">
        <f>IF(A56&gt;='00_통제변수'!$B$32,'00_통제변수'!$B$33/10000,0)</f>
        <v>1</v>
      </c>
      <c r="P56" s="35">
        <f t="shared" si="11"/>
        <v>45</v>
      </c>
      <c r="Q56" s="35">
        <f>O56+P55*'00_통제변수'!$B$34</f>
        <v>2.3199999999999998</v>
      </c>
      <c r="R56" s="35">
        <f>Q56*'00_통제변수'!$B$36</f>
        <v>2.4359999999999999</v>
      </c>
      <c r="S56" s="22">
        <f>R56*'00_통제변수'!$B$35/10000</f>
        <v>14.616</v>
      </c>
    </row>
    <row r="57" spans="1:19">
      <c r="A57" s="20">
        <v>54</v>
      </c>
      <c r="B57" s="20">
        <v>2031</v>
      </c>
      <c r="C57" s="20">
        <v>6</v>
      </c>
      <c r="D57" s="21">
        <f>'00_통제변수'!$F$16*(1+'00_통제변수'!$F$17)^(A57-1)</f>
        <v>9.2003537383838783</v>
      </c>
      <c r="E57" s="22">
        <f t="shared" si="9"/>
        <v>975.1296060616088</v>
      </c>
      <c r="F57" s="23">
        <f>'00_통제변수'!$F$18+('00_통제변수'!$F$19-'00_통제변수'!$F$18)*MIN(1,MAX(0,(A57-'00_통제변수'!$F$20+1)/MAX(1,'00_통제변수'!$F$21)))</f>
        <v>0.105</v>
      </c>
      <c r="G57" s="22">
        <f t="shared" si="10"/>
        <v>101.42257149393861</v>
      </c>
      <c r="H57" s="22">
        <f t="shared" si="6"/>
        <v>110.62292523232249</v>
      </c>
      <c r="I57" s="24">
        <f>'00_통제변수'!$F$22+('00_통제변수'!$F$23-'00_통제변수'!$F$22)*MIN(1,MAX(0,(A57-'00_통제변수'!$F$24+1)/MAX(1,'00_통제변수'!$F$25)))</f>
        <v>1.2889999999999999</v>
      </c>
      <c r="J57" s="22">
        <f t="shared" si="7"/>
        <v>142.59295062446367</v>
      </c>
      <c r="K57" s="25">
        <f>IF(A57&gt;='00_통제변수'!$F$28,'00_통제변수'!$F$27,'00_통제변수'!$F$26)</f>
        <v>31846</v>
      </c>
      <c r="L57" s="26">
        <f t="shared" si="8"/>
        <v>454.10151055866703</v>
      </c>
      <c r="M57" s="26">
        <f>(L57+S57)/(1-'00_통제변수'!$B$8)*'00_통제변수'!$B$11</f>
        <v>499.90033108599903</v>
      </c>
      <c r="N57" s="26">
        <f>(E57+P57)*('00_통제변수'!$B$9+('00_통제변수'!$B$10-'00_통제변수'!$B$9)*(A57-1)/MAX(1,'00_통제변수'!$B$6-1))</f>
        <v>1919.0313681374778</v>
      </c>
      <c r="O57" s="34">
        <f>IF(A57&gt;='00_통제변수'!$B$32,'00_통제변수'!$B$33/10000,0)</f>
        <v>1</v>
      </c>
      <c r="P57" s="35">
        <f t="shared" si="11"/>
        <v>46</v>
      </c>
      <c r="Q57" s="35">
        <f>O57+P56*'00_통제변수'!$B$34</f>
        <v>2.3499999999999996</v>
      </c>
      <c r="R57" s="35">
        <f>Q57*'00_통제변수'!$B$36</f>
        <v>2.4674999999999998</v>
      </c>
      <c r="S57" s="22">
        <f>R57*'00_통제변수'!$B$35/10000</f>
        <v>14.805</v>
      </c>
    </row>
    <row r="58" spans="1:19">
      <c r="A58" s="20">
        <v>55</v>
      </c>
      <c r="B58" s="20">
        <v>2031</v>
      </c>
      <c r="C58" s="20">
        <v>7</v>
      </c>
      <c r="D58" s="21">
        <f>'00_통제변수'!$F$16*(1+'00_통제변수'!$F$17)^(A58-1)</f>
        <v>9.1543519696919606</v>
      </c>
      <c r="E58" s="22">
        <f t="shared" si="9"/>
        <v>984.28395803130081</v>
      </c>
      <c r="F58" s="23">
        <f>'00_통제변수'!$F$18+('00_통제변수'!$F$19-'00_통제변수'!$F$18)*MIN(1,MAX(0,(A58-'00_통제변수'!$F$20+1)/MAX(1,'00_통제변수'!$F$21)))</f>
        <v>0.105</v>
      </c>
      <c r="G58" s="22">
        <f t="shared" si="10"/>
        <v>102.38860863646892</v>
      </c>
      <c r="H58" s="22">
        <f t="shared" si="6"/>
        <v>111.54296060616088</v>
      </c>
      <c r="I58" s="24">
        <f>'00_통제변수'!$F$22+('00_통제변수'!$F$23-'00_통제변수'!$F$22)*MIN(1,MAX(0,(A58-'00_통제변수'!$F$24+1)/MAX(1,'00_통제변수'!$F$25)))</f>
        <v>1.2889999999999999</v>
      </c>
      <c r="J58" s="22">
        <f t="shared" si="7"/>
        <v>143.77887622134136</v>
      </c>
      <c r="K58" s="25">
        <f>IF(A58&gt;='00_통제변수'!$F$28,'00_통제변수'!$F$27,'00_통제변수'!$F$26)</f>
        <v>31846</v>
      </c>
      <c r="L58" s="26">
        <f t="shared" si="8"/>
        <v>457.87820921448366</v>
      </c>
      <c r="M58" s="26">
        <f>(L58+S58)/(1-'00_통제변수'!$B$8)*'00_통제변수'!$B$11</f>
        <v>504.12815481288237</v>
      </c>
      <c r="N58" s="26">
        <f>(E58+P58)*('00_통제변수'!$B$9+('00_통제변수'!$B$10-'00_통제변수'!$B$9)*(A58-1)/MAX(1,'00_통제변수'!$B$6-1))</f>
        <v>1924.4807420211221</v>
      </c>
      <c r="O58" s="34">
        <f>IF(A58&gt;='00_통제변수'!$B$32,'00_통제변수'!$B$33/10000,0)</f>
        <v>1</v>
      </c>
      <c r="P58" s="35">
        <f t="shared" si="11"/>
        <v>47</v>
      </c>
      <c r="Q58" s="35">
        <f>O58+P57*'00_통제변수'!$B$34</f>
        <v>2.38</v>
      </c>
      <c r="R58" s="35">
        <f>Q58*'00_통제변수'!$B$36</f>
        <v>2.4990000000000001</v>
      </c>
      <c r="S58" s="22">
        <f>R58*'00_통제변수'!$B$35/10000</f>
        <v>14.994</v>
      </c>
    </row>
    <row r="59" spans="1:19">
      <c r="A59" s="20">
        <v>56</v>
      </c>
      <c r="B59" s="20">
        <v>2031</v>
      </c>
      <c r="C59" s="20">
        <v>8</v>
      </c>
      <c r="D59" s="21">
        <f>'00_통제변수'!$F$16*(1+'00_통제변수'!$F$17)^(A59-1)</f>
        <v>9.1085802098434989</v>
      </c>
      <c r="E59" s="22">
        <f t="shared" si="9"/>
        <v>993.39253824114428</v>
      </c>
      <c r="F59" s="23">
        <f>'00_통제변수'!$F$18+('00_통제변수'!$F$19-'00_통제변수'!$F$18)*MIN(1,MAX(0,(A59-'00_통제변수'!$F$20+1)/MAX(1,'00_통제변수'!$F$21)))</f>
        <v>0.105</v>
      </c>
      <c r="G59" s="22">
        <f t="shared" si="10"/>
        <v>103.34981559328658</v>
      </c>
      <c r="H59" s="22">
        <f t="shared" si="6"/>
        <v>112.45839580313007</v>
      </c>
      <c r="I59" s="24">
        <f>'00_통제변수'!$F$22+('00_통제변수'!$F$23-'00_통제변수'!$F$22)*MIN(1,MAX(0,(A59-'00_통제변수'!$F$24+1)/MAX(1,'00_통제변수'!$F$25)))</f>
        <v>1.2889999999999999</v>
      </c>
      <c r="J59" s="22">
        <f t="shared" si="7"/>
        <v>144.95887219023464</v>
      </c>
      <c r="K59" s="25">
        <f>IF(A59&gt;='00_통제변수'!$F$28,'00_통제변수'!$F$27,'00_통제변수'!$F$26)</f>
        <v>31846</v>
      </c>
      <c r="L59" s="26">
        <f t="shared" si="8"/>
        <v>461.63602437702127</v>
      </c>
      <c r="M59" s="26">
        <f>(L59+S59)/(1-'00_통제변수'!$B$8)*'00_통제변수'!$B$11</f>
        <v>508.33584688381802</v>
      </c>
      <c r="N59" s="26">
        <f>(E59+P59)*('00_통제변수'!$B$9+('00_통제변수'!$B$10-'00_통제변수'!$B$9)*(A59-1)/MAX(1,'00_통제변수'!$B$6-1))</f>
        <v>1929.5768183139307</v>
      </c>
      <c r="O59" s="34">
        <f>IF(A59&gt;='00_통제변수'!$B$32,'00_통제변수'!$B$33/10000,0)</f>
        <v>1</v>
      </c>
      <c r="P59" s="35">
        <f t="shared" si="11"/>
        <v>48</v>
      </c>
      <c r="Q59" s="35">
        <f>O59+P58*'00_통제변수'!$B$34</f>
        <v>2.41</v>
      </c>
      <c r="R59" s="35">
        <f>Q59*'00_통제변수'!$B$36</f>
        <v>2.5305000000000004</v>
      </c>
      <c r="S59" s="22">
        <f>R59*'00_통제변수'!$B$35/10000</f>
        <v>15.183000000000003</v>
      </c>
    </row>
    <row r="60" spans="1:19">
      <c r="A60" s="20">
        <v>57</v>
      </c>
      <c r="B60" s="20">
        <v>2031</v>
      </c>
      <c r="C60" s="20">
        <v>9</v>
      </c>
      <c r="D60" s="21">
        <f>'00_통제변수'!$F$16*(1+'00_통제변수'!$F$17)^(A60-1)</f>
        <v>9.0630373087942822</v>
      </c>
      <c r="E60" s="22">
        <f t="shared" si="9"/>
        <v>1002.4555755499385</v>
      </c>
      <c r="F60" s="23">
        <f>'00_통제변수'!$F$18+('00_통제변수'!$F$19-'00_통제변수'!$F$18)*MIN(1,MAX(0,(A60-'00_통제변수'!$F$20+1)/MAX(1,'00_통제변수'!$F$21)))</f>
        <v>0.105</v>
      </c>
      <c r="G60" s="22">
        <f t="shared" si="10"/>
        <v>104.30621651532014</v>
      </c>
      <c r="H60" s="22">
        <f t="shared" si="6"/>
        <v>113.36925382411442</v>
      </c>
      <c r="I60" s="24">
        <f>'00_통제변수'!$F$22+('00_통제변수'!$F$23-'00_통제변수'!$F$22)*MIN(1,MAX(0,(A60-'00_통제변수'!$F$24+1)/MAX(1,'00_통제변수'!$F$25)))</f>
        <v>1.2889999999999999</v>
      </c>
      <c r="J60" s="22">
        <f t="shared" si="7"/>
        <v>146.13296817928349</v>
      </c>
      <c r="K60" s="25">
        <f>IF(A60&gt;='00_통제변수'!$F$28,'00_통제변수'!$F$27,'00_통제변수'!$F$26)</f>
        <v>31846</v>
      </c>
      <c r="L60" s="26">
        <f t="shared" si="8"/>
        <v>465.37505046374622</v>
      </c>
      <c r="M60" s="26">
        <f>(L60+S60)/(1-'00_통제변수'!$B$8)*'00_통제변수'!$B$11</f>
        <v>512.5235079570856</v>
      </c>
      <c r="N60" s="26">
        <f>(E60+P60)*('00_통제변수'!$B$9+('00_통제변수'!$B$10-'00_통제변수'!$B$9)*(A60-1)/MAX(1,'00_통제변수'!$B$6-1))</f>
        <v>1934.3218333930567</v>
      </c>
      <c r="O60" s="34">
        <f>IF(A60&gt;='00_통제변수'!$B$32,'00_통제변수'!$B$33/10000,0)</f>
        <v>1</v>
      </c>
      <c r="P60" s="35">
        <f t="shared" si="11"/>
        <v>49</v>
      </c>
      <c r="Q60" s="35">
        <f>O60+P59*'00_통제변수'!$B$34</f>
        <v>2.44</v>
      </c>
      <c r="R60" s="35">
        <f>Q60*'00_통제변수'!$B$36</f>
        <v>2.5619999999999998</v>
      </c>
      <c r="S60" s="22">
        <f>R60*'00_통제변수'!$B$35/10000</f>
        <v>15.372</v>
      </c>
    </row>
    <row r="61" spans="1:19">
      <c r="A61" s="20">
        <v>58</v>
      </c>
      <c r="B61" s="20">
        <v>2031</v>
      </c>
      <c r="C61" s="20">
        <v>10</v>
      </c>
      <c r="D61" s="21">
        <f>'00_통제변수'!$F$16*(1+'00_통제변수'!$F$17)^(A61-1)</f>
        <v>9.0177221222503121</v>
      </c>
      <c r="E61" s="22">
        <f t="shared" si="9"/>
        <v>1011.4732976721889</v>
      </c>
      <c r="F61" s="23">
        <f>'00_통제변수'!$F$18+('00_통제변수'!$F$19-'00_통제변수'!$F$18)*MIN(1,MAX(0,(A61-'00_통제변수'!$F$20+1)/MAX(1,'00_통제변수'!$F$21)))</f>
        <v>0.105</v>
      </c>
      <c r="G61" s="22">
        <f t="shared" si="10"/>
        <v>105.25783543274355</v>
      </c>
      <c r="H61" s="22">
        <f t="shared" si="6"/>
        <v>114.27555755499387</v>
      </c>
      <c r="I61" s="24">
        <f>'00_통제변수'!$F$22+('00_통제변수'!$F$23-'00_통제변수'!$F$22)*MIN(1,MAX(0,(A61-'00_통제변수'!$F$24+1)/MAX(1,'00_통제변수'!$F$25)))</f>
        <v>1.2889999999999999</v>
      </c>
      <c r="J61" s="22">
        <f t="shared" si="7"/>
        <v>147.30119368838709</v>
      </c>
      <c r="K61" s="25">
        <f>IF(A61&gt;='00_통제변수'!$F$28,'00_통제변수'!$F$27,'00_통제변수'!$F$26)</f>
        <v>31846</v>
      </c>
      <c r="L61" s="26">
        <f t="shared" si="8"/>
        <v>469.09538142003754</v>
      </c>
      <c r="M61" s="26">
        <f>(L61+S61)/(1-'00_통제변수'!$B$8)*'00_통제변수'!$B$11</f>
        <v>516.69123818767332</v>
      </c>
      <c r="N61" s="26">
        <f>(E61+P61)*('00_통제변수'!$B$9+('00_통제변수'!$B$10-'00_통제변수'!$B$9)*(A61-1)/MAX(1,'00_통제변수'!$B$6-1))</f>
        <v>1938.7180094433065</v>
      </c>
      <c r="O61" s="34">
        <f>IF(A61&gt;='00_통제변수'!$B$32,'00_통제변수'!$B$33/10000,0)</f>
        <v>1</v>
      </c>
      <c r="P61" s="35">
        <f t="shared" si="11"/>
        <v>50</v>
      </c>
      <c r="Q61" s="35">
        <f>O61+P60*'00_통제변수'!$B$34</f>
        <v>2.4699999999999998</v>
      </c>
      <c r="R61" s="35">
        <f>Q61*'00_통제변수'!$B$36</f>
        <v>2.5934999999999997</v>
      </c>
      <c r="S61" s="22">
        <f>R61*'00_통제변수'!$B$35/10000</f>
        <v>15.560999999999996</v>
      </c>
    </row>
    <row r="62" spans="1:19">
      <c r="A62" s="20">
        <v>59</v>
      </c>
      <c r="B62" s="20">
        <v>2031</v>
      </c>
      <c r="C62" s="20">
        <v>11</v>
      </c>
      <c r="D62" s="21">
        <f>'00_통제변수'!$F$16*(1+'00_통제변수'!$F$17)^(A62-1)</f>
        <v>8.9726335116390601</v>
      </c>
      <c r="E62" s="22">
        <f t="shared" si="9"/>
        <v>1020.445931183828</v>
      </c>
      <c r="F62" s="23">
        <f>'00_통제변수'!$F$18+('00_통제변수'!$F$19-'00_통제변수'!$F$18)*MIN(1,MAX(0,(A62-'00_통제변수'!$F$20+1)/MAX(1,'00_통제변수'!$F$21)))</f>
        <v>0.105</v>
      </c>
      <c r="G62" s="22">
        <f t="shared" si="10"/>
        <v>106.20469625557983</v>
      </c>
      <c r="H62" s="22">
        <f t="shared" si="6"/>
        <v>115.17732976721889</v>
      </c>
      <c r="I62" s="24">
        <f>'00_통제변수'!$F$22+('00_통제변수'!$F$23-'00_통제변수'!$F$22)*MIN(1,MAX(0,(A62-'00_통제변수'!$F$24+1)/MAX(1,'00_통제변수'!$F$25)))</f>
        <v>1.2889999999999999</v>
      </c>
      <c r="J62" s="22">
        <f t="shared" si="7"/>
        <v>148.46357806994516</v>
      </c>
      <c r="K62" s="25">
        <f>IF(A62&gt;='00_통제변수'!$F$28,'00_통제변수'!$F$27,'00_통제변수'!$F$26)</f>
        <v>31846</v>
      </c>
      <c r="L62" s="26">
        <f t="shared" si="8"/>
        <v>472.79711072154737</v>
      </c>
      <c r="M62" s="26">
        <f>(L62+S62)/(1-'00_통제변수'!$B$8)*'00_통제변수'!$B$11</f>
        <v>520.83913722979469</v>
      </c>
      <c r="N62" s="26">
        <f>(E62+P62)*('00_통제변수'!$B$9+('00_통제변수'!$B$10-'00_통제변수'!$B$9)*(A62-1)/MAX(1,'00_통제변수'!$B$6-1))</f>
        <v>1942.7675545431509</v>
      </c>
      <c r="O62" s="34">
        <f>IF(A62&gt;='00_통제변수'!$B$32,'00_통제변수'!$B$33/10000,0)</f>
        <v>1</v>
      </c>
      <c r="P62" s="35">
        <f t="shared" si="11"/>
        <v>51</v>
      </c>
      <c r="Q62" s="35">
        <f>O62+P61*'00_통제변수'!$B$34</f>
        <v>2.5</v>
      </c>
      <c r="R62" s="35">
        <f>Q62*'00_통제변수'!$B$36</f>
        <v>2.625</v>
      </c>
      <c r="S62" s="22">
        <f>R62*'00_통제변수'!$B$35/10000</f>
        <v>15.75</v>
      </c>
    </row>
    <row r="63" spans="1:19">
      <c r="A63" s="27">
        <v>60</v>
      </c>
      <c r="B63" s="27">
        <v>2031</v>
      </c>
      <c r="C63" s="27">
        <v>12</v>
      </c>
      <c r="D63" s="28">
        <f>'00_통제변수'!$F$16*(1+'00_통제변수'!$F$17)^(A63-1)</f>
        <v>8.927770344080864</v>
      </c>
      <c r="E63" s="29">
        <f t="shared" si="9"/>
        <v>1029.3737015279089</v>
      </c>
      <c r="F63" s="30">
        <f>'00_통제변수'!$F$18+('00_통제변수'!$F$19-'00_통제변수'!$F$18)*MIN(1,MAX(0,(A63-'00_통제변수'!$F$20+1)/MAX(1,'00_통제변수'!$F$21)))</f>
        <v>0.105</v>
      </c>
      <c r="G63" s="29">
        <f t="shared" si="10"/>
        <v>107.14682277430192</v>
      </c>
      <c r="H63" s="29">
        <f t="shared" si="6"/>
        <v>116.07459311838279</v>
      </c>
      <c r="I63" s="31">
        <f>'00_통제변수'!$F$22+('00_통제변수'!$F$23-'00_통제변수'!$F$22)*MIN(1,MAX(0,(A63-'00_통제변수'!$F$24+1)/MAX(1,'00_통제변수'!$F$25)))</f>
        <v>1.2889999999999999</v>
      </c>
      <c r="J63" s="29">
        <f t="shared" si="7"/>
        <v>149.62015052959541</v>
      </c>
      <c r="K63" s="32">
        <f>IF(A63&gt;='00_통제변수'!$F$28,'00_통제변수'!$F$27,'00_통제변수'!$F$26)</f>
        <v>31846</v>
      </c>
      <c r="L63" s="33">
        <f t="shared" si="8"/>
        <v>476.48033137654949</v>
      </c>
      <c r="M63" s="33">
        <f>(L63+S63)/(1-'00_통제변수'!$B$8)*'00_통제변수'!$B$11</f>
        <v>524.96730423939186</v>
      </c>
      <c r="N63" s="33">
        <f>(E63+P63)*('00_통제변수'!$B$9+('00_통제변수'!$B$10-'00_통제변수'!$B$9)*(A63-1)/MAX(1,'00_통제변수'!$B$6-1))</f>
        <v>1946.4726627502362</v>
      </c>
      <c r="O63" s="36">
        <f>IF(A63&gt;='00_통제변수'!$B$32,'00_통제변수'!$B$33/10000,0)</f>
        <v>1</v>
      </c>
      <c r="P63" s="37">
        <f t="shared" si="11"/>
        <v>52</v>
      </c>
      <c r="Q63" s="37">
        <f>O63+P62*'00_통제변수'!$B$34</f>
        <v>2.5300000000000002</v>
      </c>
      <c r="R63" s="37">
        <f>Q63*'00_통제변수'!$B$36</f>
        <v>2.6565000000000003</v>
      </c>
      <c r="S63" s="29">
        <f>R63*'00_통제변수'!$B$35/10000</f>
        <v>15.939000000000004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showGridLines="0" zoomScaleNormal="100" workbookViewId="0">
      <selection activeCell="F17" sqref="F17:F18"/>
    </sheetView>
  </sheetViews>
  <sheetFormatPr defaultColWidth="8.7109375" defaultRowHeight="15"/>
  <cols>
    <col min="1" max="1" width="38" customWidth="1"/>
    <col min="2" max="6" width="14" customWidth="1"/>
  </cols>
  <sheetData>
    <row r="1" spans="1:6" ht="16.5">
      <c r="A1" s="1" t="s">
        <v>96</v>
      </c>
    </row>
    <row r="2" spans="1:6">
      <c r="A2" s="2" t="s">
        <v>97</v>
      </c>
    </row>
    <row r="4" spans="1:6">
      <c r="A4" s="38" t="s">
        <v>98</v>
      </c>
      <c r="B4" s="39" t="s">
        <v>99</v>
      </c>
      <c r="C4" s="39" t="s">
        <v>100</v>
      </c>
      <c r="D4" s="39" t="s">
        <v>101</v>
      </c>
      <c r="E4" s="39" t="s">
        <v>102</v>
      </c>
      <c r="F4" s="39" t="s">
        <v>103</v>
      </c>
    </row>
    <row r="5" spans="1:6">
      <c r="A5" s="15" t="s">
        <v>73</v>
      </c>
      <c r="B5" s="25">
        <f>SUMIFS('01_현상유지'!$M$4:$M$63,'01_현상유지'!$B$4:$B$63,2027)</f>
        <v>3209.8023044767347</v>
      </c>
      <c r="C5" s="25">
        <f>SUMIFS('01_현상유지'!$M$4:$M$63,'01_현상유지'!$B$4:$B$63,2028)</f>
        <v>3925.6697706398954</v>
      </c>
      <c r="D5" s="25">
        <f>SUMIFS('01_현상유지'!$M$4:$M$63,'01_현상유지'!$B$4:$B$63,2029)</f>
        <v>4599.7469035071317</v>
      </c>
      <c r="E5" s="25">
        <f>SUMIFS('01_현상유지'!$M$4:$M$63,'01_현상유지'!$B$4:$B$63,2030)</f>
        <v>5234.473305434376</v>
      </c>
      <c r="F5" s="25">
        <f>SUMIFS('01_현상유지'!$M$4:$M$63,'01_현상유지'!$B$4:$B$63,2031)</f>
        <v>5832.1461616397683</v>
      </c>
    </row>
    <row r="6" spans="1:6">
      <c r="A6" s="15" t="s">
        <v>104</v>
      </c>
      <c r="B6" s="25">
        <f>SUMIFS('02_무배+익일'!$M$4:$M$63,'02_무배+익일'!$B$4:$B$63,2027)</f>
        <v>3138.7445639931598</v>
      </c>
      <c r="C6" s="25">
        <f>SUMIFS('02_무배+익일'!$M$4:$M$63,'02_무배+익일'!$B$4:$B$63,2028)</f>
        <v>4449.5281662134985</v>
      </c>
      <c r="D6" s="25">
        <f>SUMIFS('02_무배+익일'!$M$4:$M$63,'02_무배+익일'!$B$4:$B$63,2029)</f>
        <v>6512.7250958842706</v>
      </c>
      <c r="E6" s="25">
        <f>SUMIFS('02_무배+익일'!$M$4:$M$63,'02_무배+익일'!$B$4:$B$63,2030)</f>
        <v>8497.4391117734631</v>
      </c>
      <c r="F6" s="25">
        <f>SUMIFS('02_무배+익일'!$M$4:$M$63,'02_무배+익일'!$B$4:$B$63,2031)</f>
        <v>9943.5193326880544</v>
      </c>
    </row>
    <row r="7" spans="1:6">
      <c r="A7" s="15" t="s">
        <v>105</v>
      </c>
      <c r="B7" s="25">
        <f>SUMIFS('03_익일배송'!$M$4:$M$63,'03_익일배송'!$B$4:$B$63,2027)</f>
        <v>3414.9342769697837</v>
      </c>
      <c r="C7" s="25">
        <f>SUMIFS('03_익일배송'!$M$4:$M$63,'03_익일배송'!$B$4:$B$63,2028)</f>
        <v>4485.3219180940478</v>
      </c>
      <c r="D7" s="25">
        <f>SUMIFS('03_익일배송'!$M$4:$M$63,'03_익일배송'!$B$4:$B$63,2029)</f>
        <v>5661.4862567636719</v>
      </c>
      <c r="E7" s="25">
        <f>SUMIFS('03_익일배송'!$M$4:$M$63,'03_익일배송'!$B$4:$B$63,2030)</f>
        <v>6929.0264079097469</v>
      </c>
      <c r="F7" s="25">
        <f>SUMIFS('03_익일배송'!$M$4:$M$63,'03_익일배송'!$B$4:$B$63,2031)</f>
        <v>8189.042077214167</v>
      </c>
    </row>
    <row r="8" spans="1:6">
      <c r="A8" s="15" t="s">
        <v>106</v>
      </c>
      <c r="B8" s="25">
        <f>SUMIFS('04_회원확대'!$M$4:$M$63,'04_회원확대'!$B$4:$B$63,2027)</f>
        <v>3237.8769313424059</v>
      </c>
      <c r="C8" s="25">
        <f>SUMIFS('04_회원확대'!$M$4:$M$63,'04_회원확대'!$B$4:$B$63,2028)</f>
        <v>4029.2369348189995</v>
      </c>
      <c r="D8" s="25">
        <f>SUMIFS('04_회원확대'!$M$4:$M$63,'04_회원확대'!$B$4:$B$63,2029)</f>
        <v>4732.3289930593719</v>
      </c>
      <c r="E8" s="25">
        <f>SUMIFS('04_회원확대'!$M$4:$M$63,'04_회원확대'!$B$4:$B$63,2030)</f>
        <v>5396.0703203597477</v>
      </c>
      <c r="F8" s="25">
        <f>SUMIFS('04_회원확대'!$M$4:$M$63,'04_회원확대'!$B$4:$B$63,2031)</f>
        <v>6022.758101938276</v>
      </c>
    </row>
    <row r="10" spans="1:6">
      <c r="A10" s="38" t="s">
        <v>107</v>
      </c>
      <c r="B10" s="39" t="s">
        <v>99</v>
      </c>
      <c r="C10" s="39" t="s">
        <v>100</v>
      </c>
      <c r="D10" s="39" t="s">
        <v>101</v>
      </c>
      <c r="E10" s="39" t="s">
        <v>102</v>
      </c>
      <c r="F10" s="39" t="s">
        <v>103</v>
      </c>
    </row>
    <row r="11" spans="1:6">
      <c r="A11" s="15" t="s">
        <v>73</v>
      </c>
      <c r="B11" s="25">
        <f>SUMIFS('01_현상유지'!$L$4:$L$63,'01_현상유지'!$B$4:$B$63,2027)</f>
        <v>3010.7945615991771</v>
      </c>
      <c r="C11" s="25">
        <f>SUMIFS('01_현상유지'!$L$4:$L$63,'01_현상유지'!$B$4:$B$63,2028)</f>
        <v>3682.2782448602215</v>
      </c>
      <c r="D11" s="25">
        <f>SUMIFS('01_현상유지'!$L$4:$L$63,'01_현상유지'!$B$4:$B$63,2029)</f>
        <v>4314.5625954896896</v>
      </c>
      <c r="E11" s="25">
        <f>SUMIFS('01_현상유지'!$L$4:$L$63,'01_현상유지'!$B$4:$B$63,2030)</f>
        <v>4909.9359604974443</v>
      </c>
      <c r="F11" s="25">
        <f>SUMIFS('01_현상유지'!$L$4:$L$63,'01_현상유지'!$B$4:$B$63,2031)</f>
        <v>5470.5530996181024</v>
      </c>
    </row>
    <row r="12" spans="1:6">
      <c r="A12" s="15" t="s">
        <v>104</v>
      </c>
      <c r="B12" s="25">
        <f>SUMIFS('02_무배+익일'!$L$4:$L$63,'02_무배+익일'!$B$4:$B$63,2027)</f>
        <v>2944.1424010255828</v>
      </c>
      <c r="C12" s="25">
        <f>SUMIFS('02_무배+익일'!$L$4:$L$63,'02_무배+익일'!$B$4:$B$63,2028)</f>
        <v>4173.6574199082615</v>
      </c>
      <c r="D12" s="25">
        <f>SUMIFS('02_무배+익일'!$L$4:$L$63,'02_무배+익일'!$B$4:$B$63,2029)</f>
        <v>6108.9361399394465</v>
      </c>
      <c r="E12" s="25">
        <f>SUMIFS('02_무배+익일'!$L$4:$L$63,'02_무배+익일'!$B$4:$B$63,2030)</f>
        <v>7970.5978868435086</v>
      </c>
      <c r="F12" s="25">
        <f>SUMIFS('02_무배+익일'!$L$4:$L$63,'02_무배+익일'!$B$4:$B$63,2031)</f>
        <v>9327.0211340613951</v>
      </c>
    </row>
    <row r="13" spans="1:6">
      <c r="A13" s="15" t="s">
        <v>105</v>
      </c>
      <c r="B13" s="25">
        <f>SUMIFS('03_익일배송'!$L$4:$L$63,'03_익일배송'!$B$4:$B$63,2027)</f>
        <v>3203.2083517976566</v>
      </c>
      <c r="C13" s="25">
        <f>SUMIFS('03_익일배송'!$L$4:$L$63,'03_익일배송'!$B$4:$B$63,2028)</f>
        <v>4207.2319591722162</v>
      </c>
      <c r="D13" s="25">
        <f>SUMIFS('03_익일배송'!$L$4:$L$63,'03_익일배송'!$B$4:$B$63,2029)</f>
        <v>5310.4741088443234</v>
      </c>
      <c r="E13" s="25">
        <f>SUMIFS('03_익일배송'!$L$4:$L$63,'03_익일배송'!$B$4:$B$63,2030)</f>
        <v>6499.4267706193432</v>
      </c>
      <c r="F13" s="25">
        <f>SUMIFS('03_익일배송'!$L$4:$L$63,'03_익일배송'!$B$4:$B$63,2031)</f>
        <v>7681.3214684268887</v>
      </c>
    </row>
    <row r="14" spans="1:6">
      <c r="A14" s="15" t="s">
        <v>106</v>
      </c>
      <c r="B14" s="25">
        <f>SUMIFS('04_회원확대'!$L$4:$L$63,'04_회원확대'!$B$4:$B$63,2027)</f>
        <v>3010.7945615991771</v>
      </c>
      <c r="C14" s="25">
        <f>SUMIFS('04_회원확대'!$L$4:$L$63,'04_회원확대'!$B$4:$B$63,2028)</f>
        <v>3682.2782448602215</v>
      </c>
      <c r="D14" s="25">
        <f>SUMIFS('04_회원확대'!$L$4:$L$63,'04_회원확대'!$B$4:$B$63,2029)</f>
        <v>4314.5625954896896</v>
      </c>
      <c r="E14" s="25">
        <f>SUMIFS('04_회원확대'!$L$4:$L$63,'04_회원확대'!$B$4:$B$63,2030)</f>
        <v>4909.9359604974443</v>
      </c>
      <c r="F14" s="25">
        <f>SUMIFS('04_회원확대'!$L$4:$L$63,'04_회원확대'!$B$4:$B$63,2031)</f>
        <v>5470.5530996181024</v>
      </c>
    </row>
    <row r="16" spans="1:6">
      <c r="A16" s="38" t="s">
        <v>108</v>
      </c>
      <c r="B16" s="39" t="s">
        <v>99</v>
      </c>
      <c r="C16" s="39" t="s">
        <v>100</v>
      </c>
      <c r="D16" s="39" t="s">
        <v>101</v>
      </c>
      <c r="E16" s="39" t="s">
        <v>102</v>
      </c>
      <c r="F16" s="39" t="s">
        <v>103</v>
      </c>
    </row>
    <row r="17" spans="1:6">
      <c r="A17" s="15" t="s">
        <v>73</v>
      </c>
      <c r="B17" s="25">
        <f>SUMIFS('01_현상유지'!$J$4:$J$63,'01_현상유지'!$B$4:$B$63,2027)</f>
        <v>945.42314940626034</v>
      </c>
      <c r="C17" s="25">
        <f>SUMIFS('01_현상유지'!$J$4:$J$63,'01_현상유지'!$B$4:$B$63,2028)</f>
        <v>1156.2765323306605</v>
      </c>
      <c r="D17" s="25">
        <f>SUMIFS('01_현상유지'!$J$4:$J$63,'01_현상유지'!$B$4:$B$63,2029)</f>
        <v>1354.820886607326</v>
      </c>
      <c r="E17" s="25">
        <f>SUMIFS('01_현상유지'!$J$4:$J$63,'01_현상유지'!$B$4:$B$63,2030)</f>
        <v>1541.7747787783219</v>
      </c>
      <c r="F17" s="25">
        <f>SUMIFS('01_현상유지'!$J$4:$J$63,'01_현상유지'!$B$4:$B$63,2031)</f>
        <v>1717.8148274879427</v>
      </c>
    </row>
    <row r="18" spans="1:6">
      <c r="A18" s="15" t="s">
        <v>104</v>
      </c>
      <c r="B18" s="25">
        <f>SUMIFS('02_무배+익일'!$J$4:$J$63,'02_무배+익일'!$B$4:$B$63,2027)</f>
        <v>1045.844323278166</v>
      </c>
      <c r="C18" s="25">
        <f>SUMIFS('02_무배+익일'!$J$4:$J$63,'02_무배+익일'!$B$4:$B$63,2028)</f>
        <v>1605.2528538108697</v>
      </c>
      <c r="D18" s="25">
        <f>SUMIFS('02_무배+익일'!$J$4:$J$63,'02_무배+익일'!$B$4:$B$63,2029)</f>
        <v>2349.5908230536334</v>
      </c>
      <c r="E18" s="25">
        <f>SUMIFS('02_무배+익일'!$J$4:$J$63,'02_무배+익일'!$B$4:$B$63,2030)</f>
        <v>3065.6145718628882</v>
      </c>
      <c r="F18" s="25">
        <f>SUMIFS('02_무배+익일'!$J$4:$J$63,'02_무배+익일'!$B$4:$B$63,2031)</f>
        <v>3587.3158207928441</v>
      </c>
    </row>
    <row r="19" spans="1:6">
      <c r="A19" s="15" t="s">
        <v>105</v>
      </c>
      <c r="B19" s="25">
        <f>SUMIFS('03_익일배송'!$J$4:$J$63,'03_익일배송'!$B$4:$B$63,2027)</f>
        <v>1005.8432304834693</v>
      </c>
      <c r="C19" s="25">
        <f>SUMIFS('03_익일배송'!$J$4:$J$63,'03_익일배송'!$B$4:$B$63,2028)</f>
        <v>1321.1178669761405</v>
      </c>
      <c r="D19" s="25">
        <f>SUMIFS('03_익일배송'!$J$4:$J$63,'03_익일배송'!$B$4:$B$63,2029)</f>
        <v>1667.5482348942796</v>
      </c>
      <c r="E19" s="25">
        <f>SUMIFS('03_익일배송'!$J$4:$J$63,'03_익일배송'!$B$4:$B$63,2030)</f>
        <v>2040.892661753232</v>
      </c>
      <c r="F19" s="25">
        <f>SUMIFS('03_익일배송'!$J$4:$J$63,'03_익일배송'!$B$4:$B$63,2031)</f>
        <v>2412.0208090268443</v>
      </c>
    </row>
    <row r="20" spans="1:6">
      <c r="A20" s="15" t="s">
        <v>106</v>
      </c>
      <c r="B20" s="25">
        <f>SUMIFS('04_회원확대'!$J$4:$J$63,'04_회원확대'!$B$4:$B$63,2027)</f>
        <v>945.42314940626034</v>
      </c>
      <c r="C20" s="25">
        <f>SUMIFS('04_회원확대'!$J$4:$J$63,'04_회원확대'!$B$4:$B$63,2028)</f>
        <v>1156.2765323306605</v>
      </c>
      <c r="D20" s="25">
        <f>SUMIFS('04_회원확대'!$J$4:$J$63,'04_회원확대'!$B$4:$B$63,2029)</f>
        <v>1354.820886607326</v>
      </c>
      <c r="E20" s="25">
        <f>SUMIFS('04_회원확대'!$J$4:$J$63,'04_회원확대'!$B$4:$B$63,2030)</f>
        <v>1541.7747787783219</v>
      </c>
      <c r="F20" s="25">
        <f>SUMIFS('04_회원확대'!$J$4:$J$63,'04_회원확대'!$B$4:$B$63,2031)</f>
        <v>1717.8148274879427</v>
      </c>
    </row>
    <row r="22" spans="1:6">
      <c r="A22" s="40" t="s">
        <v>109</v>
      </c>
      <c r="B22" s="39" t="s">
        <v>99</v>
      </c>
      <c r="C22" s="39" t="s">
        <v>100</v>
      </c>
      <c r="D22" s="39" t="s">
        <v>101</v>
      </c>
      <c r="E22" s="39" t="s">
        <v>102</v>
      </c>
      <c r="F22" s="39" t="s">
        <v>103</v>
      </c>
    </row>
    <row r="23" spans="1:6">
      <c r="A23" s="15" t="s">
        <v>73</v>
      </c>
      <c r="B23" s="25">
        <f>SUMIFS('01_현상유지'!$M$4:$M$63,'01_현상유지'!$B$4:$B$63,2027,'01_현상유지'!$C$4:$C$63,12)</f>
        <v>295.42025823007805</v>
      </c>
      <c r="C23" s="25">
        <f>SUMIFS('01_현상유지'!$M$4:$M$63,'01_현상유지'!$B$4:$B$63,2028,'01_현상유지'!$C$4:$C$63,12)</f>
        <v>353.44501236216587</v>
      </c>
      <c r="D23" s="25">
        <f>SUMIFS('01_현상유지'!$M$4:$M$63,'01_현상유지'!$B$4:$B$63,2029,'01_현상유지'!$C$4:$C$63,12)</f>
        <v>408.08244421853891</v>
      </c>
      <c r="E23" s="25">
        <f>SUMIFS('01_현상유지'!$M$4:$M$63,'01_현상유지'!$B$4:$B$63,2030,'01_현상유지'!$C$4:$C$63,12)</f>
        <v>459.53029616572979</v>
      </c>
      <c r="F23" s="25">
        <f>SUMIFS('01_현상유지'!$M$4:$M$63,'01_현상유지'!$B$4:$B$63,2031,'01_현상유지'!$C$4:$C$63,12)</f>
        <v>507.97476692595899</v>
      </c>
    </row>
    <row r="24" spans="1:6">
      <c r="A24" s="15" t="s">
        <v>104</v>
      </c>
      <c r="B24" s="25">
        <f>SUMIFS('02_무배+익일'!$M$4:$M$63,'02_무배+익일'!$B$4:$B$63,2027,'02_무배+익일'!$C$4:$C$63,12)</f>
        <v>292.7811450795503</v>
      </c>
      <c r="C24" s="25">
        <f>SUMIFS('02_무배+익일'!$M$4:$M$63,'02_무배+익일'!$B$4:$B$63,2028,'02_무배+익일'!$C$4:$C$63,12)</f>
        <v>442.85760163433923</v>
      </c>
      <c r="D24" s="25">
        <f>SUMIFS('02_무배+익일'!$M$4:$M$63,'02_무배+익일'!$B$4:$B$63,2029,'02_무배+익일'!$C$4:$C$63,12)</f>
        <v>628.97046384801547</v>
      </c>
      <c r="E24" s="25">
        <f>SUMIFS('02_무배+익일'!$M$4:$M$63,'02_무배+익일'!$B$4:$B$63,2030,'02_무배+익일'!$C$4:$C$63,12)</f>
        <v>773.50644957595728</v>
      </c>
      <c r="F24" s="25">
        <f>SUMIFS('02_무배+익일'!$M$4:$M$63,'02_무배+익일'!$B$4:$B$63,2031,'02_무배+익일'!$C$4:$C$63,12)</f>
        <v>875.08043599941607</v>
      </c>
    </row>
    <row r="25" spans="1:6">
      <c r="A25" s="15" t="s">
        <v>105</v>
      </c>
      <c r="B25" s="25">
        <f>SUMIFS('03_익일배송'!$M$4:$M$63,'03_익일배송'!$B$4:$B$63,2027,'03_익일배송'!$C$4:$C$63,12)</f>
        <v>323.55660086862235</v>
      </c>
      <c r="C25" s="25">
        <f>SUMIFS('03_익일배송'!$M$4:$M$63,'03_익일배송'!$B$4:$B$63,2028,'03_익일배송'!$C$4:$C$63,12)</f>
        <v>417.43749705033929</v>
      </c>
      <c r="D25" s="25">
        <f>SUMIFS('03_익일배송'!$M$4:$M$63,'03_익일배송'!$B$4:$B$63,2029,'03_익일배송'!$C$4:$C$63,12)</f>
        <v>518.94515229570527</v>
      </c>
      <c r="E25" s="25">
        <f>SUMIFS('03_익일배송'!$M$4:$M$63,'03_익일배송'!$B$4:$B$63,2030,'03_익일배송'!$C$4:$C$63,12)</f>
        <v>628.05610582015993</v>
      </c>
      <c r="F25" s="25">
        <f>SUMIFS('03_익일배송'!$M$4:$M$63,'03_익일배송'!$B$4:$B$63,2031,'03_익일배송'!$C$4:$C$63,12)</f>
        <v>719.59804654134643</v>
      </c>
    </row>
    <row r="26" spans="1:6">
      <c r="A26" s="15" t="s">
        <v>106</v>
      </c>
      <c r="B26" s="25">
        <f>SUMIFS('04_회원확대'!$M$4:$M$63,'04_회원확대'!$B$4:$B$63,2027,'04_회원확대'!$C$4:$C$63,12)</f>
        <v>302.74115375246612</v>
      </c>
      <c r="C26" s="25">
        <f>SUMIFS('04_회원확대'!$M$4:$M$63,'04_회원확대'!$B$4:$B$63,2028,'04_회원확대'!$C$4:$C$63,12)</f>
        <v>363.18381833231507</v>
      </c>
      <c r="D26" s="25">
        <f>SUMIFS('04_회원확대'!$M$4:$M$63,'04_회원확대'!$B$4:$B$63,2029,'04_회원확대'!$C$4:$C$63,12)</f>
        <v>420.23916063644936</v>
      </c>
      <c r="E26" s="25">
        <f>SUMIFS('04_회원확대'!$M$4:$M$63,'04_회원확대'!$B$4:$B$63,2030,'04_회원확대'!$C$4:$C$63,12)</f>
        <v>474.10492303140143</v>
      </c>
      <c r="F26" s="25">
        <f>SUMIFS('04_회원확대'!$M$4:$M$63,'04_회원확대'!$B$4:$B$63,2031,'04_회원확대'!$C$4:$C$63,12)</f>
        <v>524.96730423939186</v>
      </c>
    </row>
    <row r="28" spans="1:6">
      <c r="A28" s="40" t="s">
        <v>110</v>
      </c>
      <c r="B28" s="39" t="s">
        <v>99</v>
      </c>
      <c r="C28" s="39" t="s">
        <v>100</v>
      </c>
      <c r="D28" s="39" t="s">
        <v>101</v>
      </c>
      <c r="E28" s="39" t="s">
        <v>102</v>
      </c>
      <c r="F28" s="39" t="s">
        <v>103</v>
      </c>
    </row>
    <row r="29" spans="1:6">
      <c r="A29" s="15" t="s">
        <v>73</v>
      </c>
      <c r="B29" s="41">
        <f>SUMIFS('01_현상유지'!$H$4:$H$63,'01_현상유지'!$B$4:$B$63,2027,'01_현상유지'!$C$4:$C$63,12)</f>
        <v>67.504900844773672</v>
      </c>
      <c r="C29" s="41">
        <f>SUMIFS('01_현상유지'!$H$4:$H$63,'01_현상유지'!$B$4:$B$63,2028,'01_현상유지'!$C$4:$C$63,12)</f>
        <v>80.763826612749853</v>
      </c>
      <c r="D29" s="41">
        <f>SUMIFS('01_현상유지'!$H$4:$H$63,'01_현상유지'!$B$4:$B$63,2029,'01_현상유지'!$C$4:$C$63,12)</f>
        <v>93.248733511060934</v>
      </c>
      <c r="E29" s="41">
        <f>SUMIFS('01_현상유지'!$H$4:$H$63,'01_현상유지'!$B$4:$B$63,2030,'01_현상유지'!$C$4:$C$63,12)</f>
        <v>105.00480658871327</v>
      </c>
      <c r="F29" s="41">
        <f>SUMIFS('01_현상유지'!$H$4:$H$63,'01_현상유지'!$B$4:$B$63,2031,'01_현상유지'!$C$4:$C$63,12)</f>
        <v>116.07459311838279</v>
      </c>
    </row>
    <row r="30" spans="1:6">
      <c r="A30" s="15" t="s">
        <v>104</v>
      </c>
      <c r="B30" s="41">
        <f>SUMIFS('02_무배+익일'!$H$4:$H$63,'02_무배+익일'!$B$4:$B$63,2027,'02_무배+익일'!$C$4:$C$63,12)</f>
        <v>75.006340209305222</v>
      </c>
      <c r="C30" s="41">
        <f>SUMIFS('02_무배+익일'!$H$4:$H$63,'02_무배+익일'!$B$4:$B$63,2028,'02_무배+익일'!$C$4:$C$63,12)</f>
        <v>99.073604011199265</v>
      </c>
      <c r="D30" s="41">
        <f>SUMIFS('02_무배+익일'!$H$4:$H$63,'02_무배+익일'!$B$4:$B$63,2029,'02_무배+익일'!$C$4:$C$63,12)</f>
        <v>126.06288356611932</v>
      </c>
      <c r="E30" s="41">
        <f>SUMIFS('02_무배+익일'!$H$4:$H$63,'02_무배+익일'!$B$4:$B$63,2030,'02_무배+익일'!$C$4:$C$63,12)</f>
        <v>155.03184822697602</v>
      </c>
      <c r="F30" s="41">
        <f>SUMIFS('02_무배+익일'!$H$4:$H$63,'02_무배+익일'!$B$4:$B$63,2031,'02_무배+익일'!$C$4:$C$63,12)</f>
        <v>175.39005319817352</v>
      </c>
    </row>
    <row r="31" spans="1:6">
      <c r="A31" s="15" t="s">
        <v>105</v>
      </c>
      <c r="B31" s="41">
        <f>SUMIFS('03_익일배송'!$H$4:$H$63,'03_익일배송'!$B$4:$B$63,2027,'03_익일배송'!$C$4:$C$63,12)</f>
        <v>71.813622559998848</v>
      </c>
      <c r="C31" s="41">
        <f>SUMIFS('03_익일배송'!$H$4:$H$63,'03_익일배송'!$B$4:$B$63,2028,'03_익일배송'!$C$4:$C$63,12)</f>
        <v>88.308535627459861</v>
      </c>
      <c r="D31" s="41">
        <f>SUMIFS('03_익일배송'!$H$4:$H$63,'03_익일배송'!$B$4:$B$63,2029,'03_익일배송'!$C$4:$C$63,12)</f>
        <v>104.86781534625405</v>
      </c>
      <c r="E31" s="41">
        <f>SUMIFS('03_익일배송'!$H$4:$H$63,'03_익일배송'!$B$4:$B$63,2030,'03_익일배송'!$C$4:$C$63,12)</f>
        <v>121.4786499159794</v>
      </c>
      <c r="F31" s="41">
        <f>SUMIFS('03_익일배송'!$H$4:$H$63,'03_익일배송'!$B$4:$B$63,2031,'03_익일배송'!$C$4:$C$63,12)</f>
        <v>136.74335312396207</v>
      </c>
    </row>
    <row r="32" spans="1:6">
      <c r="A32" s="15" t="s">
        <v>106</v>
      </c>
      <c r="B32" s="41">
        <f>SUMIFS('04_회원확대'!$H$4:$H$63,'04_회원확대'!$B$4:$B$63,2027,'04_회원확대'!$C$4:$C$63,12)</f>
        <v>67.504900844773672</v>
      </c>
      <c r="C32" s="41">
        <f>SUMIFS('04_회원확대'!$H$4:$H$63,'04_회원확대'!$B$4:$B$63,2028,'04_회원확대'!$C$4:$C$63,12)</f>
        <v>80.763826612749853</v>
      </c>
      <c r="D32" s="41">
        <f>SUMIFS('04_회원확대'!$H$4:$H$63,'04_회원확대'!$B$4:$B$63,2029,'04_회원확대'!$C$4:$C$63,12)</f>
        <v>93.248733511060934</v>
      </c>
      <c r="E32" s="41">
        <f>SUMIFS('04_회원확대'!$H$4:$H$63,'04_회원확대'!$B$4:$B$63,2030,'04_회원확대'!$C$4:$C$63,12)</f>
        <v>105.00480658871327</v>
      </c>
      <c r="F32" s="41">
        <f>SUMIFS('04_회원확대'!$H$4:$H$63,'04_회원확대'!$B$4:$B$63,2031,'04_회원확대'!$C$4:$C$63,12)</f>
        <v>116.07459311838279</v>
      </c>
    </row>
    <row r="34" spans="1:6">
      <c r="A34" s="40" t="s">
        <v>111</v>
      </c>
      <c r="B34" s="39" t="s">
        <v>99</v>
      </c>
      <c r="C34" s="39" t="s">
        <v>100</v>
      </c>
      <c r="D34" s="39" t="s">
        <v>101</v>
      </c>
      <c r="E34" s="39" t="s">
        <v>102</v>
      </c>
      <c r="F34" s="39" t="s">
        <v>103</v>
      </c>
    </row>
    <row r="35" spans="1:6">
      <c r="A35" s="15" t="s">
        <v>73</v>
      </c>
      <c r="B35" s="25">
        <f>SUMIFS('01_현상유지'!$E$4:$E$63,'01_현상유지'!$B$4:$B$63,2027,'01_현상유지'!$C$4:$C$63,12)</f>
        <v>546.10526340549802</v>
      </c>
      <c r="C35" s="25">
        <f>SUMIFS('01_현상유지'!$E$4:$E$63,'01_현상유지'!$B$4:$B$63,2028,'01_현상유지'!$C$4:$C$63,12)</f>
        <v>678.03157479686104</v>
      </c>
      <c r="D35" s="25">
        <f>SUMIFS('01_현상유지'!$E$4:$E$63,'01_현상유지'!$B$4:$B$63,2029,'01_현상유지'!$C$4:$C$63,12)</f>
        <v>802.25639843505621</v>
      </c>
      <c r="E35" s="25">
        <f>SUMIFS('01_현상유지'!$E$4:$E$63,'01_현상유지'!$B$4:$B$63,2030,'01_현상유지'!$C$4:$C$63,12)</f>
        <v>919.22932555769694</v>
      </c>
      <c r="F35" s="25">
        <f>SUMIFS('01_현상유지'!$E$4:$E$63,'01_현상유지'!$B$4:$B$63,2031,'01_현상유지'!$C$4:$C$63,12)</f>
        <v>1029.3737015279089</v>
      </c>
    </row>
    <row r="36" spans="1:6">
      <c r="A36" s="15" t="s">
        <v>104</v>
      </c>
      <c r="B36" s="25">
        <f>SUMIFS('02_무배+익일'!$E$4:$E$63,'02_무배+익일'!$B$4:$B$63,2027,'02_무배+익일'!$C$4:$C$63,12)</f>
        <v>549.21063406949293</v>
      </c>
      <c r="C36" s="25">
        <f>SUMIFS('02_무배+익일'!$E$4:$E$63,'02_무배+익일'!$B$4:$B$63,2028,'02_무배+익일'!$C$4:$C$63,12)</f>
        <v>690.71216099643698</v>
      </c>
      <c r="D36" s="25">
        <f>SUMIFS('02_무배+익일'!$E$4:$E$63,'02_무배+익일'!$B$4:$B$63,2029,'02_무배+익일'!$C$4:$C$63,12)</f>
        <v>830.52497764063037</v>
      </c>
      <c r="E36" s="25">
        <f>SUMIFS('02_무배+익일'!$E$4:$E$63,'02_무배+익일'!$B$4:$B$63,2030,'02_무배+익일'!$C$4:$C$63,12)</f>
        <v>968.66923744126893</v>
      </c>
      <c r="F36" s="25">
        <f>SUMIFS('02_무배+익일'!$E$4:$E$63,'02_무배+익일'!$B$4:$B$63,2031,'02_무배+익일'!$C$4:$C$63,12)</f>
        <v>1105.164853321982</v>
      </c>
    </row>
    <row r="37" spans="1:6">
      <c r="A37" s="15" t="s">
        <v>105</v>
      </c>
      <c r="B37" s="25">
        <f>SUMIFS('03_익일배송'!$E$4:$E$63,'03_익일배송'!$B$4:$B$63,2027,'03_익일배송'!$C$4:$C$63,12)</f>
        <v>547.64760038713644</v>
      </c>
      <c r="C37" s="25">
        <f>SUMIFS('03_익일배송'!$E$4:$E$63,'03_익일배송'!$B$4:$B$63,2028,'03_익일배송'!$C$4:$C$63,12)</f>
        <v>684.27919010041444</v>
      </c>
      <c r="D37" s="25">
        <f>SUMIFS('03_익일배송'!$E$4:$E$63,'03_익일배송'!$B$4:$B$63,2029,'03_익일배송'!$C$4:$C$63,12)</f>
        <v>816.07239560870096</v>
      </c>
      <c r="E37" s="25">
        <f>SUMIFS('03_익일배송'!$E$4:$E$63,'03_익일배송'!$B$4:$B$63,2030,'03_익일배송'!$C$4:$C$63,12)</f>
        <v>943.1985532900934</v>
      </c>
      <c r="F37" s="25">
        <f>SUMIFS('03_익일배송'!$E$4:$E$63,'03_익일배송'!$B$4:$B$63,2031,'03_익일배송'!$C$4:$C$63,12)</f>
        <v>1065.8229321759843</v>
      </c>
    </row>
    <row r="38" spans="1:6">
      <c r="A38" s="15" t="s">
        <v>106</v>
      </c>
      <c r="B38" s="25">
        <f>SUMIFS('04_회원확대'!$E$4:$E$63,'04_회원확대'!$B$4:$B$63,2027,'04_회원확대'!$C$4:$C$63,12)</f>
        <v>546.10526340549802</v>
      </c>
      <c r="C38" s="25">
        <f>SUMIFS('04_회원확대'!$E$4:$E$63,'04_회원확대'!$B$4:$B$63,2028,'04_회원확대'!$C$4:$C$63,12)</f>
        <v>678.03157479686104</v>
      </c>
      <c r="D38" s="25">
        <f>SUMIFS('04_회원확대'!$E$4:$E$63,'04_회원확대'!$B$4:$B$63,2029,'04_회원확대'!$C$4:$C$63,12)</f>
        <v>802.25639843505621</v>
      </c>
      <c r="E38" s="25">
        <f>SUMIFS('04_회원확대'!$E$4:$E$63,'04_회원확대'!$B$4:$B$63,2030,'04_회원확대'!$C$4:$C$63,12)</f>
        <v>919.22932555769694</v>
      </c>
      <c r="F38" s="25">
        <f>SUMIFS('04_회원확대'!$E$4:$E$63,'04_회원확대'!$B$4:$B$63,2031,'04_회원확대'!$C$4:$C$63,12)</f>
        <v>1029.3737015279089</v>
      </c>
    </row>
    <row r="40" spans="1:6">
      <c r="A40" s="40" t="s">
        <v>112</v>
      </c>
      <c r="B40" s="39" t="s">
        <v>99</v>
      </c>
      <c r="C40" s="39" t="s">
        <v>100</v>
      </c>
      <c r="D40" s="39" t="s">
        <v>101</v>
      </c>
      <c r="E40" s="39" t="s">
        <v>102</v>
      </c>
      <c r="F40" s="39" t="s">
        <v>103</v>
      </c>
    </row>
    <row r="41" spans="1:6">
      <c r="A41" s="15" t="s">
        <v>73</v>
      </c>
      <c r="B41" s="25">
        <f>SUMIFS('01_현상유지'!$N$4:$N$63,'01_현상유지'!$B$4:$B$63,2027,'01_현상유지'!$C$4:$C$63,12)</f>
        <v>1329.5349158570464</v>
      </c>
      <c r="C41" s="25">
        <f>SUMIFS('01_현상유지'!$N$4:$N$63,'01_현상유지'!$B$4:$B$63,2028,'01_현상유지'!$C$4:$C$63,12)</f>
        <v>1543.1538959952966</v>
      </c>
      <c r="D41" s="25">
        <f>SUMIFS('01_현상유지'!$N$4:$N$63,'01_현상유지'!$B$4:$B$63,2029,'01_현상유지'!$C$4:$C$63,12)</f>
        <v>1698.607954110292</v>
      </c>
      <c r="E41" s="25">
        <f>SUMIFS('01_현상유지'!$N$4:$N$63,'01_현상유지'!$B$4:$B$63,2030,'01_현상유지'!$C$4:$C$63,12)</f>
        <v>1800.4430654482619</v>
      </c>
      <c r="F41" s="25">
        <f>SUMIFS('01_현상유지'!$N$4:$N$63,'01_현상유지'!$B$4:$B$63,2031,'01_현상유지'!$C$4:$C$63,12)</f>
        <v>1852.872662750236</v>
      </c>
    </row>
    <row r="42" spans="1:6">
      <c r="A42" s="15" t="s">
        <v>104</v>
      </c>
      <c r="B42" s="25">
        <f>SUMIFS('02_무배+익일'!$N$4:$N$63,'02_무배+익일'!$B$4:$B$63,2027,'02_무배+익일'!$C$4:$C$63,12)</f>
        <v>1337.0951775888468</v>
      </c>
      <c r="C42" s="25">
        <f>SUMIFS('02_무배+익일'!$N$4:$N$63,'02_무배+익일'!$B$4:$B$63,2028,'02_무배+익일'!$C$4:$C$63,12)</f>
        <v>1572.014050484772</v>
      </c>
      <c r="D42" s="25">
        <f>SUMIFS('02_무배+익일'!$N$4:$N$63,'02_무배+익일'!$B$4:$B$63,2029,'02_무배+익일'!$C$4:$C$63,12)</f>
        <v>1758.4606814723313</v>
      </c>
      <c r="E42" s="25">
        <f>SUMIFS('02_무배+익일'!$N$4:$N$63,'02_무배+익일'!$B$4:$B$63,2030,'02_무배+익일'!$C$4:$C$63,12)</f>
        <v>1897.2782555714075</v>
      </c>
      <c r="F42" s="25">
        <f>SUMIFS('02_무배+익일'!$N$4:$N$63,'02_무배+익일'!$B$4:$B$63,2031,'02_무배+익일'!$C$4:$C$63,12)</f>
        <v>1989.2967359795678</v>
      </c>
    </row>
    <row r="43" spans="1:6">
      <c r="A43" s="15" t="s">
        <v>105</v>
      </c>
      <c r="B43" s="25">
        <f>SUMIFS('03_익일배송'!$N$4:$N$63,'03_익일배송'!$B$4:$B$63,2027,'03_익일배송'!$C$4:$C$63,12)</f>
        <v>1333.2898528747166</v>
      </c>
      <c r="C43" s="25">
        <f>SUMIFS('03_익일배송'!$N$4:$N$63,'03_익일배송'!$B$4:$B$63,2028,'03_익일배송'!$C$4:$C$63,12)</f>
        <v>1557.3730448590447</v>
      </c>
      <c r="D43" s="25">
        <f>SUMIFS('03_익일배송'!$N$4:$N$63,'03_익일배송'!$B$4:$B$63,2029,'03_익일배송'!$C$4:$C$63,12)</f>
        <v>1727.8604010074396</v>
      </c>
      <c r="E43" s="25">
        <f>SUMIFS('03_익일배송'!$N$4:$N$63,'03_익일배송'!$B$4:$B$63,2030,'03_익일배송'!$C$4:$C$63,12)</f>
        <v>1847.3902511559863</v>
      </c>
      <c r="F43" s="25">
        <f>SUMIFS('03_익일배송'!$N$4:$N$63,'03_익일배송'!$B$4:$B$63,2031,'03_익일배송'!$C$4:$C$63,12)</f>
        <v>1918.4812779167719</v>
      </c>
    </row>
    <row r="44" spans="1:6">
      <c r="A44" s="15" t="s">
        <v>106</v>
      </c>
      <c r="B44" s="25">
        <f>SUMIFS('04_회원확대'!$N$4:$N$63,'04_회원확대'!$B$4:$B$63,2027,'04_회원확대'!$C$4:$C$63,12)</f>
        <v>1339.2732209417923</v>
      </c>
      <c r="C44" s="25">
        <f>SUMIFS('04_회원확대'!$N$4:$N$63,'04_회원확대'!$B$4:$B$63,2028,'04_회원확대'!$C$4:$C$63,12)</f>
        <v>1579.5688112495338</v>
      </c>
      <c r="D44" s="25">
        <f>SUMIFS('04_회원확대'!$N$4:$N$63,'04_회원확대'!$B$4:$B$63,2029,'04_회원확대'!$C$4:$C$63,12)</f>
        <v>1757.8920219069023</v>
      </c>
      <c r="E44" s="25">
        <f>SUMIFS('04_회원확대'!$N$4:$N$63,'04_회원확대'!$B$4:$B$63,2030,'04_회원확대'!$C$4:$C$63,12)</f>
        <v>1878.7888281601263</v>
      </c>
      <c r="F44" s="25">
        <f>SUMIFS('04_회원확대'!$N$4:$N$63,'04_회원확대'!$B$4:$B$63,2031,'04_회원확대'!$C$4:$C$63,12)</f>
        <v>1946.4726627502362</v>
      </c>
    </row>
    <row r="46" spans="1:6">
      <c r="A46" s="40" t="s">
        <v>113</v>
      </c>
      <c r="B46" s="39" t="s">
        <v>99</v>
      </c>
      <c r="C46" s="39" t="s">
        <v>100</v>
      </c>
      <c r="D46" s="39" t="s">
        <v>101</v>
      </c>
      <c r="E46" s="39" t="s">
        <v>102</v>
      </c>
      <c r="F46" s="39" t="s">
        <v>103</v>
      </c>
    </row>
    <row r="47" spans="1:6">
      <c r="A47" s="15" t="s">
        <v>73</v>
      </c>
      <c r="B47" s="23">
        <f>SUMIFS('01_현상유지'!$F$4:$F$63,'01_현상유지'!$B$4:$B$63,2027,'01_현상유지'!$C$4:$C$63,12)</f>
        <v>0.105</v>
      </c>
      <c r="C47" s="23">
        <f>SUMIFS('01_현상유지'!$F$4:$F$63,'01_현상유지'!$B$4:$B$63,2028,'01_현상유지'!$C$4:$C$63,12)</f>
        <v>0.105</v>
      </c>
      <c r="D47" s="23">
        <f>SUMIFS('01_현상유지'!$F$4:$F$63,'01_현상유지'!$B$4:$B$63,2029,'01_현상유지'!$C$4:$C$63,12)</f>
        <v>0.105</v>
      </c>
      <c r="E47" s="23">
        <f>SUMIFS('01_현상유지'!$F$4:$F$63,'01_현상유지'!$B$4:$B$63,2030,'01_현상유지'!$C$4:$C$63,12)</f>
        <v>0.105</v>
      </c>
      <c r="F47" s="23">
        <f>SUMIFS('01_현상유지'!$F$4:$F$63,'01_현상유지'!$B$4:$B$63,2031,'01_현상유지'!$C$4:$C$63,12)</f>
        <v>0.105</v>
      </c>
    </row>
    <row r="48" spans="1:6">
      <c r="A48" s="15" t="s">
        <v>104</v>
      </c>
      <c r="B48" s="23">
        <f>SUMIFS('02_무배+익일'!$F$4:$F$63,'02_무배+익일'!$B$4:$B$63,2027,'02_무배+익일'!$C$4:$C$63,12)</f>
        <v>0.11749999999999999</v>
      </c>
      <c r="C48" s="23">
        <f>SUMIFS('02_무배+익일'!$F$4:$F$63,'02_무배+익일'!$B$4:$B$63,2028,'02_무배+익일'!$C$4:$C$63,12)</f>
        <v>0.12864285714285714</v>
      </c>
      <c r="D48" s="23">
        <f>SUMIFS('02_무배+익일'!$F$4:$F$63,'02_무배+익일'!$B$4:$B$63,2029,'02_무배+익일'!$C$4:$C$63,12)</f>
        <v>0.13978571428571429</v>
      </c>
      <c r="E48" s="23">
        <f>SUMIFS('02_무배+익일'!$F$4:$F$63,'02_무배+익일'!$B$4:$B$63,2030,'02_무배+익일'!$C$4:$C$63,12)</f>
        <v>0.15</v>
      </c>
      <c r="F48" s="23">
        <f>SUMIFS('02_무배+익일'!$F$4:$F$63,'02_무배+익일'!$B$4:$B$63,2031,'02_무배+익일'!$C$4:$C$63,12)</f>
        <v>0.15</v>
      </c>
    </row>
    <row r="49" spans="1:6">
      <c r="A49" s="15" t="s">
        <v>105</v>
      </c>
      <c r="B49" s="23">
        <f>SUMIFS('03_익일배송'!$F$4:$F$63,'03_익일배송'!$B$4:$B$63,2027,'03_익일배송'!$C$4:$C$63,12)</f>
        <v>0.1123125</v>
      </c>
      <c r="C49" s="23">
        <f>SUMIFS('03_익일배송'!$F$4:$F$63,'03_익일배송'!$B$4:$B$63,2028,'03_익일배송'!$C$4:$C$63,12)</f>
        <v>0.1145625</v>
      </c>
      <c r="D49" s="23">
        <f>SUMIFS('03_익일배송'!$F$4:$F$63,'03_익일배송'!$B$4:$B$63,2029,'03_익일배송'!$C$4:$C$63,12)</f>
        <v>0.1168125</v>
      </c>
      <c r="E49" s="23">
        <f>SUMIFS('03_익일배송'!$F$4:$F$63,'03_익일배송'!$B$4:$B$63,2030,'03_익일배송'!$C$4:$C$63,12)</f>
        <v>0.1190625</v>
      </c>
      <c r="F49" s="23">
        <f>SUMIFS('03_익일배송'!$F$4:$F$63,'03_익일배송'!$B$4:$B$63,2031,'03_익일배송'!$C$4:$C$63,12)</f>
        <v>0.12</v>
      </c>
    </row>
    <row r="50" spans="1:6">
      <c r="A50" s="15" t="s">
        <v>106</v>
      </c>
      <c r="B50" s="23">
        <f>SUMIFS('04_회원확대'!$F$4:$F$63,'04_회원확대'!$B$4:$B$63,2027,'04_회원확대'!$C$4:$C$63,12)</f>
        <v>0.105</v>
      </c>
      <c r="C50" s="23">
        <f>SUMIFS('04_회원확대'!$F$4:$F$63,'04_회원확대'!$B$4:$B$63,2028,'04_회원확대'!$C$4:$C$63,12)</f>
        <v>0.105</v>
      </c>
      <c r="D50" s="23">
        <f>SUMIFS('04_회원확대'!$F$4:$F$63,'04_회원확대'!$B$4:$B$63,2029,'04_회원확대'!$C$4:$C$63,12)</f>
        <v>0.105</v>
      </c>
      <c r="E50" s="23">
        <f>SUMIFS('04_회원확대'!$F$4:$F$63,'04_회원확대'!$B$4:$B$63,2030,'04_회원확대'!$C$4:$C$63,12)</f>
        <v>0.105</v>
      </c>
      <c r="F50" s="23">
        <f>SUMIFS('04_회원확대'!$F$4:$F$63,'04_회원확대'!$B$4:$B$63,2031,'04_회원확대'!$C$4:$C$63,12)</f>
        <v>0.105</v>
      </c>
    </row>
    <row r="52" spans="1:6">
      <c r="A52" s="40" t="s">
        <v>114</v>
      </c>
      <c r="B52" s="39" t="s">
        <v>99</v>
      </c>
      <c r="C52" s="39" t="s">
        <v>100</v>
      </c>
      <c r="D52" s="39" t="s">
        <v>101</v>
      </c>
      <c r="E52" s="39" t="s">
        <v>102</v>
      </c>
      <c r="F52" s="39" t="s">
        <v>103</v>
      </c>
    </row>
    <row r="53" spans="1:6">
      <c r="A53" s="15" t="s">
        <v>73</v>
      </c>
      <c r="B53" s="24">
        <f>SUMIFS('01_현상유지'!$I$4:$I$63,'01_현상유지'!$B$4:$B$63,2027,'01_현상유지'!$C$4:$C$63,12)</f>
        <v>1.2889999999999999</v>
      </c>
      <c r="C53" s="24">
        <f>SUMIFS('01_현상유지'!$I$4:$I$63,'01_현상유지'!$B$4:$B$63,2028,'01_현상유지'!$C$4:$C$63,12)</f>
        <v>1.2889999999999999</v>
      </c>
      <c r="D53" s="24">
        <f>SUMIFS('01_현상유지'!$I$4:$I$63,'01_현상유지'!$B$4:$B$63,2029,'01_현상유지'!$C$4:$C$63,12)</f>
        <v>1.2889999999999999</v>
      </c>
      <c r="E53" s="24">
        <f>SUMIFS('01_현상유지'!$I$4:$I$63,'01_현상유지'!$B$4:$B$63,2030,'01_현상유지'!$C$4:$C$63,12)</f>
        <v>1.2889999999999999</v>
      </c>
      <c r="F53" s="24">
        <f>SUMIFS('01_현상유지'!$I$4:$I$63,'01_현상유지'!$B$4:$B$63,2031,'01_현상유지'!$C$4:$C$63,12)</f>
        <v>1.2889999999999999</v>
      </c>
    </row>
    <row r="54" spans="1:6">
      <c r="A54" s="15" t="s">
        <v>104</v>
      </c>
      <c r="B54" s="24">
        <f>SUMIFS('02_무배+익일'!$I$4:$I$63,'02_무배+익일'!$B$4:$B$63,2027,'02_무배+익일'!$C$4:$C$63,12)</f>
        <v>1.4082333333333332</v>
      </c>
      <c r="C54" s="24">
        <f>SUMIFS('02_무배+익일'!$I$4:$I$63,'02_무배+익일'!$B$4:$B$63,2028,'02_무배+익일'!$C$4:$C$63,12)</f>
        <v>1.6126333333333334</v>
      </c>
      <c r="D54" s="24">
        <f>SUMIFS('02_무배+익일'!$I$4:$I$63,'02_무배+익일'!$B$4:$B$63,2029,'02_무배+익일'!$C$4:$C$63,12)</f>
        <v>1.8</v>
      </c>
      <c r="E54" s="24">
        <f>SUMIFS('02_무배+익일'!$I$4:$I$63,'02_무배+익일'!$B$4:$B$63,2030,'02_무배+익일'!$C$4:$C$63,12)</f>
        <v>1.8</v>
      </c>
      <c r="F54" s="24">
        <f>SUMIFS('02_무배+익일'!$I$4:$I$63,'02_무배+익일'!$B$4:$B$63,2031,'02_무배+익일'!$C$4:$C$63,12)</f>
        <v>1.8</v>
      </c>
    </row>
    <row r="55" spans="1:6">
      <c r="A55" s="15" t="s">
        <v>105</v>
      </c>
      <c r="B55" s="24">
        <f>SUMIFS('03_익일배송'!$I$4:$I$63,'03_익일배송'!$B$4:$B$63,2027,'03_익일배송'!$C$4:$C$63,12)</f>
        <v>1.3270625</v>
      </c>
      <c r="C55" s="24">
        <f>SUMIFS('03_익일배송'!$I$4:$I$63,'03_익일배송'!$B$4:$B$63,2028,'03_익일배송'!$C$4:$C$63,12)</f>
        <v>1.3923125000000001</v>
      </c>
      <c r="D55" s="24">
        <f>SUMIFS('03_익일배송'!$I$4:$I$63,'03_익일배송'!$B$4:$B$63,2029,'03_익일배송'!$C$4:$C$63,12)</f>
        <v>1.4575625000000001</v>
      </c>
      <c r="E55" s="24">
        <f>SUMIFS('03_익일배송'!$I$4:$I$63,'03_익일배송'!$B$4:$B$63,2030,'03_익일배송'!$C$4:$C$63,12)</f>
        <v>1.5228125000000001</v>
      </c>
      <c r="F55" s="24">
        <f>SUMIFS('03_익일배송'!$I$4:$I$63,'03_익일배송'!$B$4:$B$63,2031,'03_익일배송'!$C$4:$C$63,12)</f>
        <v>1.55</v>
      </c>
    </row>
    <row r="56" spans="1:6">
      <c r="A56" s="15" t="s">
        <v>106</v>
      </c>
      <c r="B56" s="24">
        <f>SUMIFS('04_회원확대'!$I$4:$I$63,'04_회원확대'!$B$4:$B$63,2027,'04_회원확대'!$C$4:$C$63,12)</f>
        <v>1.2889999999999999</v>
      </c>
      <c r="C56" s="24">
        <f>SUMIFS('04_회원확대'!$I$4:$I$63,'04_회원확대'!$B$4:$B$63,2028,'04_회원확대'!$C$4:$C$63,12)</f>
        <v>1.2889999999999999</v>
      </c>
      <c r="D56" s="24">
        <f>SUMIFS('04_회원확대'!$I$4:$I$63,'04_회원확대'!$B$4:$B$63,2029,'04_회원확대'!$C$4:$C$63,12)</f>
        <v>1.2889999999999999</v>
      </c>
      <c r="E56" s="24">
        <f>SUMIFS('04_회원확대'!$I$4:$I$63,'04_회원확대'!$B$4:$B$63,2030,'04_회원확대'!$C$4:$C$63,12)</f>
        <v>1.2889999999999999</v>
      </c>
      <c r="F56" s="24">
        <f>SUMIFS('04_회원확대'!$I$4:$I$63,'04_회원확대'!$B$4:$B$63,2031,'04_회원확대'!$C$4:$C$63,12)</f>
        <v>1.2889999999999999</v>
      </c>
    </row>
    <row r="58" spans="1:6">
      <c r="A58" s="40" t="s">
        <v>115</v>
      </c>
      <c r="B58" s="39" t="s">
        <v>99</v>
      </c>
      <c r="C58" s="39" t="s">
        <v>100</v>
      </c>
      <c r="D58" s="39" t="s">
        <v>101</v>
      </c>
      <c r="E58" s="39" t="s">
        <v>102</v>
      </c>
      <c r="F58" s="39" t="s">
        <v>103</v>
      </c>
    </row>
    <row r="59" spans="1:6">
      <c r="A59" s="15" t="s">
        <v>73</v>
      </c>
      <c r="B59" s="25">
        <f>SUMIFS('01_현상유지'!$K$4:$K$63,'01_현상유지'!$B$4:$B$63,2027,'01_현상유지'!$C$4:$C$63,12)</f>
        <v>31846</v>
      </c>
      <c r="C59" s="25">
        <f>SUMIFS('01_현상유지'!$K$4:$K$63,'01_현상유지'!$B$4:$B$63,2028,'01_현상유지'!$C$4:$C$63,12)</f>
        <v>31846</v>
      </c>
      <c r="D59" s="25">
        <f>SUMIFS('01_현상유지'!$K$4:$K$63,'01_현상유지'!$B$4:$B$63,2029,'01_현상유지'!$C$4:$C$63,12)</f>
        <v>31846</v>
      </c>
      <c r="E59" s="25">
        <f>SUMIFS('01_현상유지'!$K$4:$K$63,'01_현상유지'!$B$4:$B$63,2030,'01_현상유지'!$C$4:$C$63,12)</f>
        <v>31846</v>
      </c>
      <c r="F59" s="25">
        <f>SUMIFS('01_현상유지'!$K$4:$K$63,'01_현상유지'!$B$4:$B$63,2031,'01_현상유지'!$C$4:$C$63,12)</f>
        <v>31846</v>
      </c>
    </row>
    <row r="60" spans="1:6">
      <c r="A60" s="15" t="s">
        <v>104</v>
      </c>
      <c r="B60" s="25">
        <f>SUMIFS('02_무배+익일'!$K$4:$K$63,'02_무배+익일'!$B$4:$B$63,2027,'02_무배+익일'!$C$4:$C$63,12)</f>
        <v>26000</v>
      </c>
      <c r="C60" s="25">
        <f>SUMIFS('02_무배+익일'!$K$4:$K$63,'02_무배+익일'!$B$4:$B$63,2028,'02_무배+익일'!$C$4:$C$63,12)</f>
        <v>26000</v>
      </c>
      <c r="D60" s="25">
        <f>SUMIFS('02_무배+익일'!$K$4:$K$63,'02_무배+익일'!$B$4:$B$63,2029,'02_무배+익일'!$C$4:$C$63,12)</f>
        <v>26000</v>
      </c>
      <c r="E60" s="25">
        <f>SUMIFS('02_무배+익일'!$K$4:$K$63,'02_무배+익일'!$B$4:$B$63,2030,'02_무배+익일'!$C$4:$C$63,12)</f>
        <v>26000</v>
      </c>
      <c r="F60" s="25">
        <f>SUMIFS('02_무배+익일'!$K$4:$K$63,'02_무배+익일'!$B$4:$B$63,2031,'02_무배+익일'!$C$4:$C$63,12)</f>
        <v>26000</v>
      </c>
    </row>
    <row r="61" spans="1:6">
      <c r="A61" s="15" t="s">
        <v>105</v>
      </c>
      <c r="B61" s="25">
        <f>SUMIFS('03_익일배송'!$K$4:$K$63,'03_익일배송'!$B$4:$B$63,2027,'03_익일배송'!$C$4:$C$63,12)</f>
        <v>31846</v>
      </c>
      <c r="C61" s="25">
        <f>SUMIFS('03_익일배송'!$K$4:$K$63,'03_익일배송'!$B$4:$B$63,2028,'03_익일배송'!$C$4:$C$63,12)</f>
        <v>31846</v>
      </c>
      <c r="D61" s="25">
        <f>SUMIFS('03_익일배송'!$K$4:$K$63,'03_익일배송'!$B$4:$B$63,2029,'03_익일배송'!$C$4:$C$63,12)</f>
        <v>31846</v>
      </c>
      <c r="E61" s="25">
        <f>SUMIFS('03_익일배송'!$K$4:$K$63,'03_익일배송'!$B$4:$B$63,2030,'03_익일배송'!$C$4:$C$63,12)</f>
        <v>31846</v>
      </c>
      <c r="F61" s="25">
        <f>SUMIFS('03_익일배송'!$K$4:$K$63,'03_익일배송'!$B$4:$B$63,2031,'03_익일배송'!$C$4:$C$63,12)</f>
        <v>31846</v>
      </c>
    </row>
    <row r="62" spans="1:6">
      <c r="A62" s="15" t="s">
        <v>106</v>
      </c>
      <c r="B62" s="25">
        <f>SUMIFS('04_회원확대'!$K$4:$K$63,'04_회원확대'!$B$4:$B$63,2027,'04_회원확대'!$C$4:$C$63,12)</f>
        <v>31846</v>
      </c>
      <c r="C62" s="25">
        <f>SUMIFS('04_회원확대'!$K$4:$K$63,'04_회원확대'!$B$4:$B$63,2028,'04_회원확대'!$C$4:$C$63,12)</f>
        <v>31846</v>
      </c>
      <c r="D62" s="25">
        <f>SUMIFS('04_회원확대'!$K$4:$K$63,'04_회원확대'!$B$4:$B$63,2029,'04_회원확대'!$C$4:$C$63,12)</f>
        <v>31846</v>
      </c>
      <c r="E62" s="25">
        <f>SUMIFS('04_회원확대'!$K$4:$K$63,'04_회원확대'!$B$4:$B$63,2030,'04_회원확대'!$C$4:$C$63,12)</f>
        <v>31846</v>
      </c>
      <c r="F62" s="25">
        <f>SUMIFS('04_회원확대'!$K$4:$K$63,'04_회원확대'!$B$4:$B$63,2031,'04_회원확대'!$C$4:$C$63,12)</f>
        <v>31846</v>
      </c>
    </row>
    <row r="65" spans="1:6">
      <c r="A65" s="38" t="s">
        <v>116</v>
      </c>
      <c r="B65" s="42"/>
      <c r="C65" s="42"/>
      <c r="D65" s="42"/>
      <c r="E65" s="42"/>
      <c r="F65" s="42"/>
    </row>
    <row r="66" spans="1:6">
      <c r="A66" s="15" t="s">
        <v>117</v>
      </c>
      <c r="B66" s="43">
        <v>3100</v>
      </c>
    </row>
    <row r="67" spans="1:6">
      <c r="A67" s="15" t="s">
        <v>118</v>
      </c>
      <c r="B67" s="25">
        <f>B5</f>
        <v>3209.8023044767347</v>
      </c>
    </row>
    <row r="68" spans="1:6">
      <c r="A68" s="15" t="s">
        <v>119</v>
      </c>
      <c r="B68" s="25">
        <f>B67-B66</f>
        <v>109.80230447673466</v>
      </c>
    </row>
    <row r="69" spans="1:6">
      <c r="A69" s="15" t="s">
        <v>120</v>
      </c>
      <c r="B69" s="24">
        <f>IFERROR(B66/B67,1)</f>
        <v>0.96579156780977049</v>
      </c>
    </row>
    <row r="70" spans="1:6">
      <c r="A70" s="2" t="s">
        <v>121</v>
      </c>
    </row>
    <row r="71" spans="1:6">
      <c r="A71" s="2" t="s">
        <v>122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00_통제변수</vt:lpstr>
      <vt:lpstr>01_현상유지</vt:lpstr>
      <vt:lpstr>02_무배+익일</vt:lpstr>
      <vt:lpstr>03_익일배송</vt:lpstr>
      <vt:lpstr>04_회원확대</vt:lpstr>
      <vt:lpstr>05_요약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AD2302001P01</cp:lastModifiedBy>
  <cp:revision>1</cp:revision>
  <dcterms:created xsi:type="dcterms:W3CDTF">2026-09-16T22:53:27Z</dcterms:created>
  <dcterms:modified xsi:type="dcterms:W3CDTF">2026-09-17T02:21:16Z</dcterms:modified>
  <dc:language>en-US</dc:language>
</cp:coreProperties>
</file>